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kaln\OneDrive\Masaüstü\"/>
    </mc:Choice>
  </mc:AlternateContent>
  <xr:revisionPtr revIDLastSave="0" documentId="13_ncr:1_{105C4EB2-61EB-43C2-A5C9-B75647E8A5B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İşler" sheetId="1" r:id="rId1"/>
    <sheet name="Aylık İş " sheetId="4" r:id="rId2"/>
    <sheet name="Müşteri Borç" sheetId="5" r:id="rId3"/>
    <sheet name="Müşteri Getiri" sheetId="6" r:id="rId4"/>
    <sheet name="İş Tipi" sheetId="8" r:id="rId5"/>
    <sheet name="Panel" sheetId="9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93" i="1" l="1"/>
  <c r="G505" i="1"/>
  <c r="G507" i="1"/>
  <c r="G504" i="1"/>
  <c r="G490" i="1"/>
  <c r="G482" i="1"/>
  <c r="G494" i="1"/>
  <c r="G495" i="1"/>
  <c r="G496" i="1"/>
  <c r="G497" i="1"/>
  <c r="G498" i="1"/>
  <c r="G499" i="1"/>
  <c r="G500" i="1"/>
  <c r="G501" i="1"/>
  <c r="G502" i="1"/>
  <c r="G503" i="1"/>
  <c r="G506" i="1"/>
  <c r="G508" i="1"/>
  <c r="G509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492" i="1"/>
  <c r="G488" i="1"/>
  <c r="G487" i="1"/>
  <c r="G486" i="1"/>
  <c r="G485" i="1"/>
  <c r="G484" i="1"/>
  <c r="G483" i="1"/>
  <c r="G473" i="1"/>
  <c r="G481" i="1"/>
  <c r="G480" i="1"/>
  <c r="G479" i="1"/>
  <c r="G478" i="1"/>
  <c r="G477" i="1"/>
  <c r="G476" i="1"/>
  <c r="G471" i="1"/>
  <c r="G475" i="1"/>
  <c r="G474" i="1"/>
  <c r="G472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354" i="1"/>
  <c r="G409" i="1"/>
  <c r="G408" i="1"/>
  <c r="G407" i="1"/>
  <c r="G406" i="1"/>
  <c r="G405" i="1"/>
  <c r="G404" i="1"/>
  <c r="G403" i="1"/>
  <c r="G402" i="1"/>
  <c r="G401" i="1"/>
  <c r="G400" i="1"/>
  <c r="G268" i="1"/>
  <c r="G265" i="1"/>
  <c r="G215" i="1"/>
  <c r="G233" i="1"/>
  <c r="G205" i="1"/>
  <c r="G219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6" i="1"/>
  <c r="G207" i="1"/>
  <c r="G208" i="1"/>
  <c r="G209" i="1"/>
  <c r="G210" i="1"/>
  <c r="G211" i="1"/>
  <c r="G212" i="1"/>
  <c r="G213" i="1"/>
  <c r="G214" i="1"/>
  <c r="G216" i="1"/>
  <c r="G217" i="1"/>
  <c r="G218" i="1"/>
  <c r="G220" i="1"/>
  <c r="G221" i="1"/>
  <c r="G222" i="1"/>
  <c r="G223" i="1"/>
  <c r="G224" i="1"/>
  <c r="G232" i="1"/>
  <c r="G225" i="1"/>
  <c r="G226" i="1"/>
  <c r="G227" i="1"/>
  <c r="G228" i="1"/>
  <c r="G229" i="1"/>
  <c r="G230" i="1"/>
  <c r="G231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6" i="1"/>
  <c r="G267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153" i="1"/>
  <c r="G192" i="1"/>
  <c r="G191" i="1"/>
  <c r="G190" i="1"/>
  <c r="G189" i="1"/>
  <c r="G135" i="1"/>
  <c r="G188" i="1"/>
  <c r="G187" i="1"/>
  <c r="G186" i="1"/>
  <c r="G185" i="1"/>
  <c r="G184" i="1"/>
  <c r="G183" i="1"/>
  <c r="G178" i="1"/>
  <c r="G182" i="1"/>
  <c r="G181" i="1"/>
  <c r="G180" i="1"/>
  <c r="G179" i="1"/>
  <c r="G177" i="1"/>
  <c r="G176" i="1"/>
  <c r="G175" i="1"/>
  <c r="G168" i="1"/>
  <c r="G174" i="1"/>
  <c r="G173" i="1"/>
  <c r="G172" i="1"/>
  <c r="G171" i="1"/>
  <c r="G170" i="1"/>
  <c r="G169" i="1"/>
  <c r="G167" i="1"/>
  <c r="G166" i="1"/>
  <c r="G165" i="1"/>
  <c r="G164" i="1"/>
  <c r="G163" i="1"/>
  <c r="G162" i="1"/>
  <c r="G161" i="1"/>
  <c r="G160" i="1"/>
  <c r="G159" i="1"/>
  <c r="G152" i="1"/>
  <c r="G149" i="1"/>
  <c r="G158" i="1"/>
  <c r="G157" i="1"/>
  <c r="G156" i="1"/>
  <c r="G155" i="1"/>
  <c r="G154" i="1"/>
  <c r="G151" i="1"/>
  <c r="G150" i="1"/>
  <c r="G148" i="1"/>
  <c r="G147" i="1"/>
  <c r="G146" i="1"/>
  <c r="G145" i="1"/>
  <c r="G144" i="1"/>
  <c r="G143" i="1"/>
  <c r="G142" i="1"/>
  <c r="G118" i="1"/>
  <c r="G119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6" i="1"/>
  <c r="G137" i="1"/>
  <c r="G138" i="1"/>
  <c r="G139" i="1"/>
  <c r="G140" i="1"/>
  <c r="G141" i="1"/>
  <c r="G66" i="1"/>
  <c r="G39" i="1"/>
  <c r="G91" i="1"/>
  <c r="G92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5" i="1"/>
  <c r="G86" i="1"/>
  <c r="G87" i="1"/>
  <c r="G88" i="1"/>
  <c r="G89" i="1"/>
  <c r="G90" i="1"/>
  <c r="G3" i="1"/>
  <c r="G2" i="1"/>
</calcChain>
</file>

<file path=xl/sharedStrings.xml><?xml version="1.0" encoding="utf-8"?>
<sst xmlns="http://schemas.openxmlformats.org/spreadsheetml/2006/main" count="2601" uniqueCount="799">
  <si>
    <t>Tarih</t>
  </si>
  <si>
    <t>Marka/Model</t>
  </si>
  <si>
    <t>Müşteri</t>
  </si>
  <si>
    <t>Yapılan İşlem</t>
  </si>
  <si>
    <t xml:space="preserve">Ücret </t>
  </si>
  <si>
    <t>Alınan</t>
  </si>
  <si>
    <t xml:space="preserve"> Kalan</t>
  </si>
  <si>
    <t>Hikmet Polat</t>
  </si>
  <si>
    <t>Elik Yapı</t>
  </si>
  <si>
    <t>3230 Cargo</t>
  </si>
  <si>
    <t>Şanzıman işçiliği yapıldı.
Yağ değişimi yapıldı.</t>
  </si>
  <si>
    <t>Plaka</t>
  </si>
  <si>
    <t>Dolu istavroz kutusu takıldı.
Diferansiyel işçiliği yapıldı.(Yol)</t>
  </si>
  <si>
    <t>Vedat Akar</t>
  </si>
  <si>
    <t>1838 Cargo</t>
  </si>
  <si>
    <t>Motor işçiliği yapıldı.</t>
  </si>
  <si>
    <t>Orhan Aktaş</t>
  </si>
  <si>
    <t>1840 Axor</t>
  </si>
  <si>
    <t>Diferansiyel işçiliği yapıldı.</t>
  </si>
  <si>
    <t>3228 Axor</t>
  </si>
  <si>
    <t>Ali Arslan</t>
  </si>
  <si>
    <t>Pekcanlar</t>
  </si>
  <si>
    <t>16 ANK 666</t>
  </si>
  <si>
    <t>Yağ değişimi yapıldı.
İmdat kolu değişti.</t>
  </si>
  <si>
    <t>Disk ve balata değişti.
Yağ değişimi yapıldı.</t>
  </si>
  <si>
    <t>4140 Axor</t>
  </si>
  <si>
    <t>Yağ değişimi yapıldı.
2 teker balata değişti.</t>
  </si>
  <si>
    <t>Yağ değişimi yapıldı.
Şanzıman aktarma pistonu tamiri yapıldı.
Devirdaim ara boru değişimi yapıldı.
Kompresör kapak değişimi yapıldı.
Arka fren ventili değişti.</t>
  </si>
  <si>
    <t>Semih</t>
  </si>
  <si>
    <t>ANK</t>
  </si>
  <si>
    <t>3229 Axor</t>
  </si>
  <si>
    <t>Erkan Koşulular</t>
  </si>
  <si>
    <t>Araç üstünde motor işçiliği yapıldı.</t>
  </si>
  <si>
    <t>Muşlu Reşit</t>
  </si>
  <si>
    <t>Aracına müşteri bulundu.</t>
  </si>
  <si>
    <t>2532 Cargo</t>
  </si>
  <si>
    <t>Ömer Çenis</t>
  </si>
  <si>
    <t xml:space="preserve">MB800 </t>
  </si>
  <si>
    <t>Hamza</t>
  </si>
  <si>
    <t>Şanzıman değişimi yapıldı.
Yağ bakımı yapıldı.
Rot başları değişimi yapıldı.</t>
  </si>
  <si>
    <t>624 Pro</t>
  </si>
  <si>
    <t>Sezer Keskin</t>
  </si>
  <si>
    <t>Damperci Mustafa</t>
  </si>
  <si>
    <t>PTO satıldı.</t>
  </si>
  <si>
    <t>2530 Cargo</t>
  </si>
  <si>
    <t>Sezer Arslan</t>
  </si>
  <si>
    <t xml:space="preserve">3229 Axor </t>
  </si>
  <si>
    <t>Hüseyin Eş</t>
  </si>
  <si>
    <t>Çeşitli işler.</t>
  </si>
  <si>
    <t>Hasan Akar</t>
  </si>
  <si>
    <t>Yılmaz</t>
  </si>
  <si>
    <t>3240 Axor</t>
  </si>
  <si>
    <t>ALB çubuğu takıldı.
Hava kaçakları giderildi.
1 teker sök-tak.
Paspaslar değişti.
Komple fren ayarı yapıldı.</t>
  </si>
  <si>
    <t>Enjektör tesisatı değişti.
Tazyik sibobu değişti.(Bizden)</t>
  </si>
  <si>
    <t>Alt merkez tamir takımı değişti.
Hidrolik koyuldu.(Bizden)</t>
  </si>
  <si>
    <t>Rotbaşları değişti.
Reflektör yapıştırıldı.</t>
  </si>
  <si>
    <t>Sedat Akar</t>
  </si>
  <si>
    <t>Mustafa Kurban</t>
  </si>
  <si>
    <t>Saffet Aras</t>
  </si>
  <si>
    <t>620 Pro</t>
  </si>
  <si>
    <t>Yağ bakımı yapıldı.</t>
  </si>
  <si>
    <t>Gergi makarası ve kayış değişimi yapıldı.</t>
  </si>
  <si>
    <t>16 BFJ 874</t>
  </si>
  <si>
    <t>Kabin amortisörü değişti.
Hava kaçakları giderildi.</t>
  </si>
  <si>
    <t>Erkan Sağlam</t>
  </si>
  <si>
    <t>Sağ çeker kaliper tamiri yapıldı.
Sağ dingil kaldırma körüğü değişti.</t>
  </si>
  <si>
    <t>Ön teker (sağ/sol) diskleri ve balataları değişti.
Çeker tekerler (sağ/sol) tekerler söküldü,balata disk kontrolleri yapıldı.
Sağ çeker körük lastiği değişti.
Dörtlü dağıtıcı değişti.
Şeytan dingil kaldırma bobinindeki hava kaçağı giderildi.
Arka paspaslar değişti.
Reflektörler takıldı.</t>
  </si>
  <si>
    <t>Abdulselam Aydın</t>
  </si>
  <si>
    <t>16 ARA 971</t>
  </si>
  <si>
    <t>Yağ bakımı yapıldı.
4 ve 5. enjektör borusu değişti.</t>
  </si>
  <si>
    <t>Külbütör kapak contası değişti.
Külbütör filtresi değişti.
Sağ çamurluk sinyal lambası değişti.</t>
  </si>
  <si>
    <t>Isuzu Dmax</t>
  </si>
  <si>
    <t>3232 Cargo</t>
  </si>
  <si>
    <t>34 GGH 113</t>
  </si>
  <si>
    <t>Hava tahliye ünitesi değişti.</t>
  </si>
  <si>
    <t>59 ACM 044</t>
  </si>
  <si>
    <t>Osman Güneş</t>
  </si>
  <si>
    <t>5 lt 15-40W yağ koyuldu.
Mazot otomatiği temizlendi.
Gaz kolu burcu yenilendi.</t>
  </si>
  <si>
    <t>522 Pro</t>
  </si>
  <si>
    <t>1836 Axor</t>
  </si>
  <si>
    <t>34 UT 4756</t>
  </si>
  <si>
    <t>Nurullah Karakaya</t>
  </si>
  <si>
    <t>Radyatör değişti.</t>
  </si>
  <si>
    <t>Metal su borusu değişti.
Karter yağ hortumu değişti.</t>
  </si>
  <si>
    <t>İsmail Yıldız</t>
  </si>
  <si>
    <t>Yağ değişimi yapıldı.</t>
  </si>
  <si>
    <t>Enjektör fişek o-ringleri değişti.</t>
  </si>
  <si>
    <t>Mevlüt Usta</t>
  </si>
  <si>
    <t>75 lik ZF şanzıman kilometre halkası(ZF0730 162 694) satıldı.</t>
  </si>
  <si>
    <t>950 Dodge</t>
  </si>
  <si>
    <t>Şükrü Çaldır</t>
  </si>
  <si>
    <t>Emin Yağcı</t>
  </si>
  <si>
    <t>Ahmet(Aydın Gönderdi)</t>
  </si>
  <si>
    <t>Kalorifer hortumu değişti.</t>
  </si>
  <si>
    <t>Diferansiyel değişti.(Yol)</t>
  </si>
  <si>
    <t>Komple şanzıman verildi.</t>
  </si>
  <si>
    <t>Tek freze aks değişti.(Yol)</t>
  </si>
  <si>
    <t xml:space="preserve">3228 Axor </t>
  </si>
  <si>
    <t>827 Pro</t>
  </si>
  <si>
    <t>Hino</t>
  </si>
  <si>
    <t>Han Grup</t>
  </si>
  <si>
    <t>Murtaza Toprak</t>
  </si>
  <si>
    <t xml:space="preserve">Rafet Bozkurt </t>
  </si>
  <si>
    <t>16 BHK 590</t>
  </si>
  <si>
    <t>16 FBB 08</t>
  </si>
  <si>
    <t>Yağ bakımı yapıldı.
Karter yağ koyma hortumu değişti.
Şeytan dingil yatay amortisörleri değişti.(2 Adet)</t>
  </si>
  <si>
    <t>Stop pistonu değişti.
Motora 3 lt yağ eklendi.</t>
  </si>
  <si>
    <t>Hava kaçakları giderildi.
Yağ filtresi değişti.
Şaft cıvataları sıkıldı.</t>
  </si>
  <si>
    <t>Bir adet 10/43 diferansiyel satıldı.</t>
  </si>
  <si>
    <t>2524 Cargo</t>
  </si>
  <si>
    <t xml:space="preserve">Erkan Sağlam </t>
  </si>
  <si>
    <t>Yağ bakımı yapıldı.
Egzoz freni değişti.</t>
  </si>
  <si>
    <t>Klima ayağı takıldı.
Kayış değişti.</t>
  </si>
  <si>
    <t>Rot başları değişti. (Sağ-Sol)</t>
  </si>
  <si>
    <t>2520 Cargo</t>
  </si>
  <si>
    <t>Oğuzhan Demir</t>
  </si>
  <si>
    <t>Emin Sevim</t>
  </si>
  <si>
    <t>16 KJC 95</t>
  </si>
  <si>
    <t>Baskı balata değişimi yapıldı.(Yol)</t>
  </si>
  <si>
    <t>Sağ motor kulağı değişti.
Şazıman arka kapağı değişti.
3.5 lt şanzıman yağı koyuldu.</t>
  </si>
  <si>
    <t>Mesut Bayrak</t>
  </si>
  <si>
    <t>Sağ şeytan dingil kaldırma körüğü değişti.</t>
  </si>
  <si>
    <t>Küçük Hino</t>
  </si>
  <si>
    <t>34 BU 8267</t>
  </si>
  <si>
    <t>16 AUD 852</t>
  </si>
  <si>
    <t>Orta askı değişti.(Yol)</t>
  </si>
  <si>
    <t>Baskı balata değişti.</t>
  </si>
  <si>
    <t>Şamandıra süzgeci takıldı.</t>
  </si>
  <si>
    <t>16 APU 121</t>
  </si>
  <si>
    <t>Sol çeker disk ve balatalar değişti.
Yağ bakımı yapıldı.</t>
  </si>
  <si>
    <t>2 lt şanzıman yağı konuldu.</t>
  </si>
  <si>
    <t>Volan dişlisi değişti.
Dişli bizden takıldı.</t>
  </si>
  <si>
    <t>Mahmut Çakmak</t>
  </si>
  <si>
    <t>Şaft değişimi yapıldı.(Yol)</t>
  </si>
  <si>
    <t>Ön sol teker disk değişti.
Ön tekerler balata değişti.
Sol çeker disk değişti.
Çeker tekerler balata değişti.</t>
  </si>
  <si>
    <t>Hurdacı Cemil</t>
  </si>
  <si>
    <t>6 varil yağ satıldı.</t>
  </si>
  <si>
    <t>24 teneke 37 bidon satıldı.</t>
  </si>
  <si>
    <t>Bir varil filtre satıldı.</t>
  </si>
  <si>
    <t>Tayraş Yağ</t>
  </si>
  <si>
    <t>Diferansiyel değişti.(Yol)
Diferansiyel satıldı.</t>
  </si>
  <si>
    <t>Baskı balata değişti.(Yol)</t>
  </si>
  <si>
    <t xml:space="preserve">Sağ sol çeker balata değişti.
Sağ çeker 5 adet bijon değişti. </t>
  </si>
  <si>
    <t>Taksimat lastiği değişti.</t>
  </si>
  <si>
    <t>1830 Cargo</t>
  </si>
  <si>
    <t>16 LTL 38</t>
  </si>
  <si>
    <t>Anıt Asfalt</t>
  </si>
  <si>
    <t>Sol çeker disk değişti.(Yol)</t>
  </si>
  <si>
    <t>Motor söküldü.</t>
  </si>
  <si>
    <t>Sağ arka motor kulağı cıvataları değişti.</t>
  </si>
  <si>
    <t>Egzoz kazanı değişti.
Kazan bizden takıldı.</t>
  </si>
  <si>
    <t>Arka dingil sağ-sol disk ve balatalar değişti.</t>
  </si>
  <si>
    <t>16 TU 718</t>
  </si>
  <si>
    <t>Fatih Aktaş</t>
  </si>
  <si>
    <t>Karter sök-tak işlemi.</t>
  </si>
  <si>
    <t>Tazyik sibobu değişti.</t>
  </si>
  <si>
    <t>2640 Axor</t>
  </si>
  <si>
    <t>Mehmet Sönmez</t>
  </si>
  <si>
    <t>16 LTB 46</t>
  </si>
  <si>
    <t>Rot başları değişti.
Sol çeker bijon değişti.</t>
  </si>
  <si>
    <t>Termostatlar değişti.</t>
  </si>
  <si>
    <t>Motor takıldı.(Yol)</t>
  </si>
  <si>
    <t>Metin Atıcılar</t>
  </si>
  <si>
    <t>Naim Tetik</t>
  </si>
  <si>
    <t>16 NAR 06</t>
  </si>
  <si>
    <t>16 CPB 66</t>
  </si>
  <si>
    <t>Enjektörlere O'ring takıldı.</t>
  </si>
  <si>
    <t>Yağ bakımı yapıldı.
Yağ soğutucu kapak contası değişti.</t>
  </si>
  <si>
    <t>Ford Transit</t>
  </si>
  <si>
    <t>935 Pro</t>
  </si>
  <si>
    <t>38 AGS 188</t>
  </si>
  <si>
    <t>Belediye Taşören Firma</t>
  </si>
  <si>
    <t>Aydın</t>
  </si>
  <si>
    <t>Stop teli değişti.
Kayış değişti.
Şarj dinamosu değişti.</t>
  </si>
  <si>
    <t>Diferansiyel işçiliği yol.
Dolu istavroz kutusu takıldı.</t>
  </si>
  <si>
    <t>Polo satıldı</t>
  </si>
  <si>
    <t>16 FN 315</t>
  </si>
  <si>
    <t xml:space="preserve"> Şehmus Bilim</t>
  </si>
  <si>
    <t>Şehmus Bilim</t>
  </si>
  <si>
    <t>Ergün İlhan</t>
  </si>
  <si>
    <t>Radyatör değişti.
Yağ bakımı yapıldı.</t>
  </si>
  <si>
    <t>Vites alt körüğü değişti.</t>
  </si>
  <si>
    <t>Radyatör hurdası satıldı.</t>
  </si>
  <si>
    <t>Yılmaz Sarı</t>
  </si>
  <si>
    <t>Diferansiyel işçiliği yapıldı.(Yol)
Dolu istavroz kutusu takıldı.</t>
  </si>
  <si>
    <t>16 LMC 37</t>
  </si>
  <si>
    <t>Onur Toprak</t>
  </si>
  <si>
    <t>Çift freze aks değişti.(Yol)
Aks takıldı.(Bizden)</t>
  </si>
  <si>
    <t>Kısa rot başı değişti.</t>
  </si>
  <si>
    <t>Kompresör kapağı değişti.</t>
  </si>
  <si>
    <t xml:space="preserve">1838 Cargo </t>
  </si>
  <si>
    <t>Vedat Kutlu</t>
  </si>
  <si>
    <t>Araç tesisatı satıldı.</t>
  </si>
  <si>
    <t>Yağ  ve yağ filtleri değişti.
Direksiyon hortumu değişti.</t>
  </si>
  <si>
    <t>Mehmet Dağdane</t>
  </si>
  <si>
    <t>Şanzıman kibrit kutusu değişti.</t>
  </si>
  <si>
    <t>Sol ön teker ön düzen işçiliği yapıldı.</t>
  </si>
  <si>
    <t>Kompresör kapağı değişti.(Yol)</t>
  </si>
  <si>
    <t>Sağ sol rot başı değişti.</t>
  </si>
  <si>
    <t>Sağ şeytan dingil basma körüğü değişti.</t>
  </si>
  <si>
    <t>Direksiyon pompası değişti.
Direksiyon kutusu sök-tak yapıldı.
Sağ-sol far değişti.</t>
  </si>
  <si>
    <t>16 AGN 373</t>
  </si>
  <si>
    <t>16 AUL 029</t>
  </si>
  <si>
    <t>16 ADS 60</t>
  </si>
  <si>
    <t>Yunus Yıldız</t>
  </si>
  <si>
    <t>Furkan Çakmak</t>
  </si>
  <si>
    <t>Zülküf Han</t>
  </si>
  <si>
    <t>3236 Cargo</t>
  </si>
  <si>
    <t>Yağ bakımı yapıldı.
Depo değişti.(Eski borç)</t>
  </si>
  <si>
    <t>Sağ-sol rotbaşı değişti.</t>
  </si>
  <si>
    <t>75'lik ZF şanzıman damper pompa dişlisi satıldı.</t>
  </si>
  <si>
    <t>16 YK 909</t>
  </si>
  <si>
    <t>34 HB 1772</t>
  </si>
  <si>
    <t>2521 Mercedes</t>
  </si>
  <si>
    <t>1838 Axor</t>
  </si>
  <si>
    <t>Er Yapı</t>
  </si>
  <si>
    <t>Hasan Kurt</t>
  </si>
  <si>
    <t>34 J 4377</t>
  </si>
  <si>
    <t>Sezer Karakaya</t>
  </si>
  <si>
    <t>Pompa ve enjektörler söküldü.</t>
  </si>
  <si>
    <t>Yağ sensörü değişti.
Sağ sol ön tekerler sökülüp takıldı.</t>
  </si>
  <si>
    <t>Hüseyin Zengin</t>
  </si>
  <si>
    <t>Hasan(Berat Çakmak)</t>
  </si>
  <si>
    <t>Super 900</t>
  </si>
  <si>
    <t>Egzoz manifoltu değişti.</t>
  </si>
  <si>
    <t>Ağır seri ventili tamiri yapıldı.</t>
  </si>
  <si>
    <t>Sol şeytan kaldırma körüğü tamiri yapıldı.
Yağ kaçakları giderildi.</t>
  </si>
  <si>
    <t>Külbütör kapak contası değişti.</t>
  </si>
  <si>
    <t>Hamdullah Kantaş</t>
  </si>
  <si>
    <t>Manifolt contaları değişti.</t>
  </si>
  <si>
    <t>49 AB 966</t>
  </si>
  <si>
    <t>Radyatör sökülüp takıldı.
Ön kapak contası ve krank keçesi değişti.
5 litre şanzıman yağı konuldu.</t>
  </si>
  <si>
    <t>Kompresör boruları komple değişti.</t>
  </si>
  <si>
    <t>3228 Cargo</t>
  </si>
  <si>
    <t>Adnanoğulları</t>
  </si>
  <si>
    <t>Mazot deposu temizlendi.</t>
  </si>
  <si>
    <t>Antifriz koyuldu.</t>
  </si>
  <si>
    <t>Muşlu Sedat</t>
  </si>
  <si>
    <t>Debriyaj bilyası ve baskı balata değişti.</t>
  </si>
  <si>
    <t>3340 Axor</t>
  </si>
  <si>
    <t>Sol ön teker dingil burçları değişti.(Parçalar bizden)</t>
  </si>
  <si>
    <t>49 AAE 737</t>
  </si>
  <si>
    <t>Röle ventili tamiri yapıldı.</t>
  </si>
  <si>
    <t>Hava kaçağı giderildi.
Kompresör yağlama hortumu değişti.(Yol)</t>
  </si>
  <si>
    <t>Debriyaj bilyası/merkezi değişti.</t>
  </si>
  <si>
    <t>Ön sağ teker değişti.(Yol)</t>
  </si>
  <si>
    <t>Mazot filtreleri ve enjektör borusu değişti.</t>
  </si>
  <si>
    <t>Şeref Çelik</t>
  </si>
  <si>
    <t>Fırat Ermiş</t>
  </si>
  <si>
    <t>16 BFM 727</t>
  </si>
  <si>
    <t>Kurt Ticaret</t>
  </si>
  <si>
    <t>Baskı balata ve volan değişti.
Sol arka motor kulağı değişti.
Baskı ve volan bizden.</t>
  </si>
  <si>
    <t>1304 406 011 kodlu şanzıman ayı satıldı.</t>
  </si>
  <si>
    <t>Direksiyon boruları değişti.
İmdat kolu değişti.</t>
  </si>
  <si>
    <t>Nusrettin Akınel</t>
  </si>
  <si>
    <t>Nurullah Aktaş</t>
  </si>
  <si>
    <t>16 RM 695</t>
  </si>
  <si>
    <t>3029 Mercedes</t>
  </si>
  <si>
    <t>Hayrullah Aktaş</t>
  </si>
  <si>
    <t>Volan bilyası değişti.</t>
  </si>
  <si>
    <t>Geri bilyaları değişti.
Kayışları değişti.
Şarj dinamosu tamir edildi.</t>
  </si>
  <si>
    <t xml:space="preserve">3232 Cargo </t>
  </si>
  <si>
    <t>06 CES 422</t>
  </si>
  <si>
    <t>832 Pro</t>
  </si>
  <si>
    <t>Sintek İnşaat</t>
  </si>
  <si>
    <t>İş Tipi</t>
  </si>
  <si>
    <t>Yağ bakımı yapıldı.
Dingil kaldırma valfi değişti.</t>
  </si>
  <si>
    <t>Satır Etiketleri</t>
  </si>
  <si>
    <t>Genel Toplam</t>
  </si>
  <si>
    <t xml:space="preserve">Toplam Ücret </t>
  </si>
  <si>
    <t>(boş)</t>
  </si>
  <si>
    <t>Toplam  Kalan</t>
  </si>
  <si>
    <t>İ</t>
  </si>
  <si>
    <t>İS</t>
  </si>
  <si>
    <t>S</t>
  </si>
  <si>
    <t>Kadir Abi</t>
  </si>
  <si>
    <t>41 VF 125</t>
  </si>
  <si>
    <t>Yağ bakımı yapıldı.
Sağ ön fren hortumu değişti.</t>
  </si>
  <si>
    <t>16 BOY 078</t>
  </si>
  <si>
    <t>Ankaralı Dayı</t>
  </si>
  <si>
    <t>Şaftın yönü düzeltildi.</t>
  </si>
  <si>
    <t>16 BAE 088</t>
  </si>
  <si>
    <t>Yağ bakımı yapıldı.
Vites halatları değişti.</t>
  </si>
  <si>
    <t xml:space="preserve">Kenan Çelik </t>
  </si>
  <si>
    <t>16 BNV 856</t>
  </si>
  <si>
    <t>Şanzıman işçiliği yapıldı.</t>
  </si>
  <si>
    <t>49 AY 565</t>
  </si>
  <si>
    <t>Diferansiyel bakımı yapıldı.</t>
  </si>
  <si>
    <t>Kazım Elgaylı</t>
  </si>
  <si>
    <t>16 J 6013</t>
  </si>
  <si>
    <t>10 U 2099</t>
  </si>
  <si>
    <t>Motor işçiliği yapıldı.
Vites kulesi değişti.(Bizden)
Egzoz tamiri yapıldı.
Gaz pedalı tamiri yapıldı.
Kabin kaldırma krikosu ve boruları değişti.
Enjektör borusu ve kızdırma bobini satıldı.</t>
  </si>
  <si>
    <t>Hikmet Demir</t>
  </si>
  <si>
    <t>16 DY 149</t>
  </si>
  <si>
    <t>Kompresör kapağı değişti.
Dörtlü dağıtıcı değişti.</t>
  </si>
  <si>
    <t>Ömer Muşlu</t>
  </si>
  <si>
    <t>Çamurluklar değişti.
Basamaklar değişti.
Ön tampon parçaları ve sis farları değişti.</t>
  </si>
  <si>
    <t>Semih(2526)</t>
  </si>
  <si>
    <t>2526 Cargo</t>
  </si>
  <si>
    <t>16 BKZ 609</t>
  </si>
  <si>
    <t>Bulut İnşaat</t>
  </si>
  <si>
    <t>16 BDZ 180</t>
  </si>
  <si>
    <t>Diferansiyel değişti.
Diferansiyel satıldı.</t>
  </si>
  <si>
    <t>Fatih Aktaş'ın Dayısı</t>
  </si>
  <si>
    <t>Diferansiyel satıldı.</t>
  </si>
  <si>
    <t>Anıt Dursun</t>
  </si>
  <si>
    <t>16 CPB 928</t>
  </si>
  <si>
    <t>Egzoz manifolt contaları değişti.</t>
  </si>
  <si>
    <t>280 Dev Fatih</t>
  </si>
  <si>
    <t>İrfan Usta Tanıdık</t>
  </si>
  <si>
    <t>1838  Cargo</t>
  </si>
  <si>
    <t>16 N 4828</t>
  </si>
  <si>
    <t>Şanzıman işçiliği yapıldı.
AdBlue tankı değişti.(Bizden)</t>
  </si>
  <si>
    <t>26 AEE 616</t>
  </si>
  <si>
    <t xml:space="preserve">Radyatör sökülüp takıldı.
Ön sağ-sol körük lastiği değişti.
Ön sağ  körük değişti.(Bizden)
Ön sol fren hortumları değişti. </t>
  </si>
  <si>
    <t>Zakir</t>
  </si>
  <si>
    <t>16 LHT 50</t>
  </si>
  <si>
    <t>Yağ bakımı yapıldı.
Sağ çeker körük tamiri yapıldı.</t>
  </si>
  <si>
    <t>1835 Axor</t>
  </si>
  <si>
    <t>34 EJ 2557</t>
  </si>
  <si>
    <t>Mazot geri dönüş hortumu değişti.</t>
  </si>
  <si>
    <t>İdris Sucu</t>
  </si>
  <si>
    <t>Celalettin Çelik</t>
  </si>
  <si>
    <t>3536 Cargo</t>
  </si>
  <si>
    <t>06 DC 6655</t>
  </si>
  <si>
    <t>Selim Can</t>
  </si>
  <si>
    <t>2521 Axor</t>
  </si>
  <si>
    <t>16 BMD 29</t>
  </si>
  <si>
    <t>Yağ bakımı yapıldı.
Gaz pedalı değişti.</t>
  </si>
  <si>
    <t>4136 Cargo</t>
  </si>
  <si>
    <t xml:space="preserve">Vanlı Mehmet Amca </t>
  </si>
  <si>
    <t>16 K 8593</t>
  </si>
  <si>
    <t>Şanzıman işçiliği yapıldı.
Parçalar takıldı.(Bizden)</t>
  </si>
  <si>
    <t>Mehmet Ali(Laz)</t>
  </si>
  <si>
    <t>4136 Cargo(Mikser)</t>
  </si>
  <si>
    <t>16 UG 228</t>
  </si>
  <si>
    <t>Şanzıman işçiliğ yapıldı. 
Orta askı değişti.</t>
  </si>
  <si>
    <t>Şirin Karakaya</t>
  </si>
  <si>
    <t>49 AAT 457</t>
  </si>
  <si>
    <t>Baskı balata değişti.
Yağ bakımı yapıldı.</t>
  </si>
  <si>
    <t>16 BNK 118</t>
  </si>
  <si>
    <t>Berat Çakmak</t>
  </si>
  <si>
    <t>16 BHJ 879</t>
  </si>
  <si>
    <t>Tek freze aks değişti yol.(Aks bizden)</t>
  </si>
  <si>
    <t>Yağ bakımı yapıldı.
Sol ön teker işçiliği yapıldı.</t>
  </si>
  <si>
    <t>16 KPV 23</t>
  </si>
  <si>
    <t>Kısa rot değişti.</t>
  </si>
  <si>
    <t>Mitsubishi</t>
  </si>
  <si>
    <t>Ön düzen işçiliği yapıldı.(Sağ-Sol)</t>
  </si>
  <si>
    <t>77 BB 981</t>
  </si>
  <si>
    <t>16 KMF 77</t>
  </si>
  <si>
    <t>Hüseyin  Zengin</t>
  </si>
  <si>
    <t>08 K 0290</t>
  </si>
  <si>
    <t>Ön motor kulakları değişti.</t>
  </si>
  <si>
    <t>İsrafil Erdal</t>
  </si>
  <si>
    <t>16 AUN 746</t>
  </si>
  <si>
    <t>16 ALG 108</t>
  </si>
  <si>
    <t>Tahliye giriş hortumu değişti.</t>
  </si>
  <si>
    <t>16 BLT 309</t>
  </si>
  <si>
    <t>Nurullah Sönmez</t>
  </si>
  <si>
    <t>Yağ bakımı yapıldı.
Alt merkez tamiri yapıldı.
Klima kayışı değişimi yapıldı.(Yol)</t>
  </si>
  <si>
    <t>Ekrem Çenis</t>
  </si>
  <si>
    <t>Radyatör, intercooler,fan, turbo ve yağ değişimi yapıldı.</t>
  </si>
  <si>
    <t>Bir varil yağ satıldı.</t>
  </si>
  <si>
    <t>Bir varil filtre satıldı.
Bir radyatör ve bir intercooler hurdası satıldı.</t>
  </si>
  <si>
    <t>Yağ bakımı yapıldı.
Sol arka dingil balataları, sağ tarafın diski değişti.
Sol çeker bijonları değişti.</t>
  </si>
  <si>
    <t>Erdem Uyanık</t>
  </si>
  <si>
    <t>Emin Bingöl</t>
  </si>
  <si>
    <t xml:space="preserve">Hüseyin Eş </t>
  </si>
  <si>
    <t>34 FF 5139</t>
  </si>
  <si>
    <t>Diferansiyel değişti.
Sağ sol çeker balataları değişti.</t>
  </si>
  <si>
    <t>Sol basamak değişti.</t>
  </si>
  <si>
    <t>Rot başları değişti.</t>
  </si>
  <si>
    <t>Radyatör temizliği yapıldı.</t>
  </si>
  <si>
    <t>16 BHP 153</t>
  </si>
  <si>
    <t>16 JUH 32</t>
  </si>
  <si>
    <t>Yağ bakımı yapıldı.
Sol kabin kilidi değişti.</t>
  </si>
  <si>
    <t>Nurullah Kır</t>
  </si>
  <si>
    <t>16 AIE 458</t>
  </si>
  <si>
    <t>Sol ön teker bilyası değişti.</t>
  </si>
  <si>
    <t>Sol ön teker bilyası değişti.(Bizden)</t>
  </si>
  <si>
    <t>Kovan değişti.
Eskilerini biz aldık.</t>
  </si>
  <si>
    <t>Zekeriya Amca</t>
  </si>
  <si>
    <t>16 CFR 55</t>
  </si>
  <si>
    <t>Debriyaj bilyası değişti.</t>
  </si>
  <si>
    <t>16 BHY 451</t>
  </si>
  <si>
    <t>Sağ şeytan dingil pimi ve amortisörü değişti. (Bizden)</t>
  </si>
  <si>
    <t>06 CPB 928</t>
  </si>
  <si>
    <t>Şaft ıstavrozu değişti.</t>
  </si>
  <si>
    <t>Şaft orta askısı değişti.(Yol)(Bilinmeyen tarih)</t>
  </si>
  <si>
    <t>Yağ bakımı yapıldı.(Bilinmeyen tarih)</t>
  </si>
  <si>
    <t>Motor kulak cıvataları değişti.(Bilinmeyen tarih)</t>
  </si>
  <si>
    <t>3029 Axor</t>
  </si>
  <si>
    <t>16 LTN 43</t>
  </si>
  <si>
    <t>Gergi makarası değişti.
Şarj dinamosu söküldü.
Egzoz koruma sacı tamiri yapıldı.</t>
  </si>
  <si>
    <t>Sağ sol çeker balataları değişti.</t>
  </si>
  <si>
    <t>16 BHK 62</t>
  </si>
  <si>
    <t>Halit Karabey(Arap)</t>
  </si>
  <si>
    <t>16 CDE 60</t>
  </si>
  <si>
    <t>Radyatör hortumu değişti.(Yol)</t>
  </si>
  <si>
    <t>16 ANU 92</t>
  </si>
  <si>
    <t>Mehmet Ali</t>
  </si>
  <si>
    <t>2 Adet lastik takıldı. (Bizden)
Kısa rot takıldı.(Bizden)
Çabuk tahliye değişti.</t>
  </si>
  <si>
    <t>Kenan Kılıç</t>
  </si>
  <si>
    <t>43 UY 078</t>
  </si>
  <si>
    <t>16 ATP 911</t>
  </si>
  <si>
    <t>Yağ bakımı yapıldı.
Kompresör kapağı değişti.
Fren hortumu değişti.</t>
  </si>
  <si>
    <t>Bekçi Vinç(Sintek)</t>
  </si>
  <si>
    <t>07 BBS 131</t>
  </si>
  <si>
    <t>Yağ bakımı yapıldı.
Volan dişlisi değişti.</t>
  </si>
  <si>
    <t>34 LHE 07</t>
  </si>
  <si>
    <t>Sağ dingil bijonları değişti.</t>
  </si>
  <si>
    <t>26 AG 412</t>
  </si>
  <si>
    <t>Sağ çeker disk değişti.
Kaliper tamiri yapıldı.</t>
  </si>
  <si>
    <t>34 BG 0882</t>
  </si>
  <si>
    <t>Yağ bakımı yapıldı.
Sol arka motor kulağı değişti.</t>
  </si>
  <si>
    <t>16 AVP 891</t>
  </si>
  <si>
    <t>Yağ bakımı yapıldı.
4 litre yağ eklendi.</t>
  </si>
  <si>
    <t>2521 Cargo</t>
  </si>
  <si>
    <t>Tahliye değişti.</t>
  </si>
  <si>
    <t>Ünal Ardil</t>
  </si>
  <si>
    <t>Alt merkez sibobu değişti.</t>
  </si>
  <si>
    <t>Oca</t>
  </si>
  <si>
    <t>Şub</t>
  </si>
  <si>
    <t>Mar</t>
  </si>
  <si>
    <t>Nis</t>
  </si>
  <si>
    <t>Ara</t>
  </si>
  <si>
    <t>Sağ sol çeker balataları değişti.
Sol çeker körüğü değişti.
Sağ sol dingil balatalı değişti.
Sağ dingil diski değişti.</t>
  </si>
  <si>
    <t>Debriyaj merkezi kısa hortumu değişti.</t>
  </si>
  <si>
    <t>Radyatör işçiliği yapıldı.</t>
  </si>
  <si>
    <t>34 ZB 705</t>
  </si>
  <si>
    <t>Sol çeker körüğü değişti.</t>
  </si>
  <si>
    <t>Ön tekerler ve dingillerin balataları değişti.</t>
  </si>
  <si>
    <t>Murat Aktaş</t>
  </si>
  <si>
    <t>46 AAC 799</t>
  </si>
  <si>
    <t>Gergi makarası değişti.
Kayış değişti.
Kalorifer musluğu değişti.
Sol arka süspansiyon körüğü değişti.(Körük bizden)</t>
  </si>
  <si>
    <t>16 KHN 49</t>
  </si>
  <si>
    <t>Sağ sol dingil balataları değişti.
Sol dingil disk değişti.</t>
  </si>
  <si>
    <t xml:space="preserve">Sıraç Kaya </t>
  </si>
  <si>
    <t>48 SF 823</t>
  </si>
  <si>
    <t>77 AD 257</t>
  </si>
  <si>
    <t>Yağ bakımı yapıldı.
Şanzıman yağı değişti.</t>
  </si>
  <si>
    <t>65 BC 068</t>
  </si>
  <si>
    <t>Enjektör borusu değişti.
Araç yıkandı.</t>
  </si>
  <si>
    <t>10 Y 6432</t>
  </si>
  <si>
    <t>Üst kapak değişti.</t>
  </si>
  <si>
    <t>Hayrettin Kantaş</t>
  </si>
  <si>
    <t>Basamak değişti.</t>
  </si>
  <si>
    <t>Süper 900</t>
  </si>
  <si>
    <t>Şaft mafsalı yerine sıkıldı.</t>
  </si>
  <si>
    <t>Tahsin Bulut</t>
  </si>
  <si>
    <t>16 AOE 597</t>
  </si>
  <si>
    <t>Aks değişti.(Yol)</t>
  </si>
  <si>
    <t>Diferansiyel değişti. (Yol)</t>
  </si>
  <si>
    <t>16 APV 40</t>
  </si>
  <si>
    <t>Dörtlü dağıtıcı değişti.(Yol)</t>
  </si>
  <si>
    <t>105 Fatih</t>
  </si>
  <si>
    <t>16 BAL 55</t>
  </si>
  <si>
    <t>Silindir kapak contası değişti.
Yağ bakımı yapıldı.</t>
  </si>
  <si>
    <t>Şeytan dingil rot başı değişti.(Rot başı bizden)</t>
  </si>
  <si>
    <t>May</t>
  </si>
  <si>
    <t xml:space="preserve">Hino </t>
  </si>
  <si>
    <t>39 DA 605</t>
  </si>
  <si>
    <t>Sol çeker bijon değişti.
Sol çeker körük hava kaçağı giderildi.
Şarj dinamosu gergi ayağı tamir edildi.</t>
  </si>
  <si>
    <t>Diferansiyel işçiliği yapıldı.(Yol)</t>
  </si>
  <si>
    <t>Sol çeker ger lastiği değişti.</t>
  </si>
  <si>
    <t xml:space="preserve">Cumali Halitoğlu </t>
  </si>
  <si>
    <t>Kompresör kapağı değişti.(Kapak bizden)</t>
  </si>
  <si>
    <t>16 ABP 691</t>
  </si>
  <si>
    <t>49 ABB 606</t>
  </si>
  <si>
    <t>16 BGF 674</t>
  </si>
  <si>
    <t>Şase filtresi takıldı.</t>
  </si>
  <si>
    <t>Mahruti keçesi değişti.
Yan korumalık cıvataları yapıldı.</t>
  </si>
  <si>
    <t>Ömer Karalı</t>
  </si>
  <si>
    <t>Motor takozu değişti.(Takoz bizden)</t>
  </si>
  <si>
    <t>Kayış ve gergi değişti.(Yol)</t>
  </si>
  <si>
    <t xml:space="preserve">624 Pro </t>
  </si>
  <si>
    <t>Radyatör söküldü.
Termostat değişti.</t>
  </si>
  <si>
    <t>Sedat Avcıoğlu
(Eskişehirli)</t>
  </si>
  <si>
    <t>Yağ bakımı yapıldı.
Termostat değişti.</t>
  </si>
  <si>
    <t>Sait Muşlu</t>
  </si>
  <si>
    <t>34 FZY 562</t>
  </si>
  <si>
    <t>Ömer Toprak</t>
  </si>
  <si>
    <t>440 Renault</t>
  </si>
  <si>
    <t>16 ADG 626</t>
  </si>
  <si>
    <t>PTO söküldü.
Kompresör borusu değişti.
PTO kapağı satıldı.</t>
  </si>
  <si>
    <t>Muhammet Muşlu</t>
  </si>
  <si>
    <t>Krank kasnağı değişti.</t>
  </si>
  <si>
    <t xml:space="preserve">Kasım Satır </t>
  </si>
  <si>
    <t>1517 Atego</t>
  </si>
  <si>
    <t>Devirdaim değişti.</t>
  </si>
  <si>
    <t>16 BEM 295</t>
  </si>
  <si>
    <t>Muaeyeneye hazırlandı.</t>
  </si>
  <si>
    <t>3232 Axor</t>
  </si>
  <si>
    <t>Pervane değişti.</t>
  </si>
  <si>
    <t>Enes Muşlu</t>
  </si>
  <si>
    <t>81 EZ 113</t>
  </si>
  <si>
    <t>Dorse hortumları değişti.</t>
  </si>
  <si>
    <t>Ön tekerler disk ve balataları değişti.
Sol ön kaliper tamiri yapıldı. Ayar cıvatası değişti.(Bizden)
Sol çeker disk ve keçe değişti.
Sağ çeker balatalar değişti.</t>
  </si>
  <si>
    <t>52 BD 941</t>
  </si>
  <si>
    <t>Sağ sol dingil balataları değişti.</t>
  </si>
  <si>
    <t>Üç Şahinler</t>
  </si>
  <si>
    <t>Bizim Araç</t>
  </si>
  <si>
    <t>Ön ara şase demiri satıldı.</t>
  </si>
  <si>
    <t xml:space="preserve">İdris Muşlu </t>
  </si>
  <si>
    <t>06 DR 8993</t>
  </si>
  <si>
    <t>4 Adet lastik satıldı.</t>
  </si>
  <si>
    <t>Yakup Çiftçi</t>
  </si>
  <si>
    <t>16 BLS 97</t>
  </si>
  <si>
    <t>Uzun rot değişti.</t>
  </si>
  <si>
    <t>MEBESA</t>
  </si>
  <si>
    <t>16 LDD 20</t>
  </si>
  <si>
    <t>16 ANV 26</t>
  </si>
  <si>
    <t>Sol dingil bijonları değişti.</t>
  </si>
  <si>
    <t>Yağcı</t>
  </si>
  <si>
    <t>3 varil yağ satıldı.</t>
  </si>
  <si>
    <t>Nezih</t>
  </si>
  <si>
    <t>Motor söküldü.(Yol)</t>
  </si>
  <si>
    <t xml:space="preserve">Nezih </t>
  </si>
  <si>
    <t>Motor takıldı.(Yol)
Motor bizden.</t>
  </si>
  <si>
    <t>Krank kasnağı değişti.
Egzoz boğaz kelepçesi değişti.</t>
  </si>
  <si>
    <t>Çeker balataları değişti.</t>
  </si>
  <si>
    <t>Sol dingil ve sağ çeker balataları değişti.</t>
  </si>
  <si>
    <t>16 AKE 979</t>
  </si>
  <si>
    <t>Yağ bakımı yapıldı.
Sol çeker röle ventili değişti.</t>
  </si>
  <si>
    <t>34 EPZ 806</t>
  </si>
  <si>
    <t>3240 AXOR</t>
  </si>
  <si>
    <t>Şaft mafsalı değişti.</t>
  </si>
  <si>
    <t>Tahliye sök-tak.</t>
  </si>
  <si>
    <t>Şase filtresi takıldı.
Santrafiş değişti.
Volan değişti.(YOL)</t>
  </si>
  <si>
    <t>Şanzıman indi.</t>
  </si>
  <si>
    <t>Volvo</t>
  </si>
  <si>
    <t>Mazot filtresi değişti.(Yol)</t>
  </si>
  <si>
    <t>Baskı balata indi.</t>
  </si>
  <si>
    <t>Çataltepeli Serdar</t>
  </si>
  <si>
    <t>Radyatör ve pervane değişti.</t>
  </si>
  <si>
    <t>1835 Cargo</t>
  </si>
  <si>
    <t>935 radyatörü satıldı.</t>
  </si>
  <si>
    <t>3230 cargo</t>
  </si>
  <si>
    <t>Vites halatı değişti.(Yol)</t>
  </si>
  <si>
    <t>Hayati</t>
  </si>
  <si>
    <t>2530 cargo</t>
  </si>
  <si>
    <t>3,5 varil yağ satıldı.</t>
  </si>
  <si>
    <t>Hüseyin Akyün</t>
  </si>
  <si>
    <t>Enjektörler değişti.
Mazot otomatiği takıldı.</t>
  </si>
  <si>
    <t>Yük-ayar ventili değişti.(Yol)</t>
  </si>
  <si>
    <t>Kompresör borusu değişti.</t>
  </si>
  <si>
    <t>Renault</t>
  </si>
  <si>
    <t>Geri dönüş hortumu değişti.</t>
  </si>
  <si>
    <t>Şanzıman indi.(Yol)</t>
  </si>
  <si>
    <t>Isuzu Çekici</t>
  </si>
  <si>
    <t>V kayışı ve klima kayışı değişti.
Klima gergi bilyası değişti.</t>
  </si>
  <si>
    <t>16 JCL 07</t>
  </si>
  <si>
    <t>Nezih Polat</t>
  </si>
  <si>
    <t>Arka krank keçesi değişti.
Kompresör su borusu değişti.
Şaft orta askısı değişti.</t>
  </si>
  <si>
    <t>Özşimşekler</t>
  </si>
  <si>
    <t>16 BEC 674</t>
  </si>
  <si>
    <t>Radyatör ve intercooler yıkandı.</t>
  </si>
  <si>
    <t>Kısa rot ve kabin krikosu değişti.</t>
  </si>
  <si>
    <t>Sinan Kaya</t>
  </si>
  <si>
    <t>Direksiyon pompası değişti.</t>
  </si>
  <si>
    <t>Özer Abi(Sarı Axor)</t>
  </si>
  <si>
    <t>Hortum takıldı.(Yol)</t>
  </si>
  <si>
    <t>Çift freze aks verildi.</t>
  </si>
  <si>
    <t>Körük tamiri yapıldı.</t>
  </si>
  <si>
    <t>Kısa rota somun takıldı.</t>
  </si>
  <si>
    <t>İmdat kolu değişti.
Vites rotillleri değişti.
Denge kolu demiri değişti.</t>
  </si>
  <si>
    <t>iS</t>
  </si>
  <si>
    <t>Radyatör üst hortumu değişti.</t>
  </si>
  <si>
    <t>Yenişehirli Abi</t>
  </si>
  <si>
    <t>Eaton aktarma verildi.</t>
  </si>
  <si>
    <t>Bilal Ardil</t>
  </si>
  <si>
    <t>Ağır seri ventili tamiri yapıldı.
Termostat değişti.</t>
  </si>
  <si>
    <t xml:space="preserve">Silindir kapak contası değişti. </t>
  </si>
  <si>
    <t>Emrah Babacan</t>
  </si>
  <si>
    <t>Ön teker poryası değişti.
Kısa rot değişti.</t>
  </si>
  <si>
    <t>Şeytan dingil 3 adet amortisör değişti.
Ön röle ventili değişti.</t>
  </si>
  <si>
    <t>Enjektörler yer değiştirildi.</t>
  </si>
  <si>
    <t>Vites kolu tamir takımı değiştirildi.</t>
  </si>
  <si>
    <t>Mehmet Topuz</t>
  </si>
  <si>
    <t>Yağ bakımı yapıldı.
Kabin kilitleri tamir edildi.
Kabin kaldırma hortumları değişti.</t>
  </si>
  <si>
    <t>Fuat Karakaya</t>
  </si>
  <si>
    <t>Kısa rot değişti.(Yol)</t>
  </si>
  <si>
    <t>Ekin Ardil</t>
  </si>
  <si>
    <t xml:space="preserve"> </t>
  </si>
  <si>
    <t>Damper hortumu ve taksimat değişti.</t>
  </si>
  <si>
    <t>1846 Cargo</t>
  </si>
  <si>
    <t>Su borusu değişti.</t>
  </si>
  <si>
    <t>2 adet direksiyon borusu değişti.</t>
  </si>
  <si>
    <t>3238 Cargo</t>
  </si>
  <si>
    <t>Fren beyin sibobu değişti.</t>
  </si>
  <si>
    <t>Yağ bakımı yapıldı.(Malzemeler dahil)</t>
  </si>
  <si>
    <t>Yağ bakımı yapıldı.
Şanzıman yağı eklendi.</t>
  </si>
  <si>
    <t>Hamza Karakaya</t>
  </si>
  <si>
    <t>Vites kolu yapıldı.</t>
  </si>
  <si>
    <t>Kompresör değişti.(yol)</t>
  </si>
  <si>
    <t>110 Fatih</t>
  </si>
  <si>
    <t>Debriyaj hortumu değişti.(yol)
Kompresör kapağı değişti.
Alt merkez değişti.
Yağ bakımı yapıldı.</t>
  </si>
  <si>
    <t>Kule bilyası değişti.
Kabin hortumları değişti.
Şanzıman indirildi.
10 litre yağ konuldu.</t>
  </si>
  <si>
    <t>Hayrullah Konçak</t>
  </si>
  <si>
    <t>Hava alındı.(Yol)</t>
  </si>
  <si>
    <t>Nihat Kantar</t>
  </si>
  <si>
    <t>450 Volvo</t>
  </si>
  <si>
    <t>Direksiyon borusu değişti.</t>
  </si>
  <si>
    <t>Direksiyon pompası değişti.
Direksiyon hortumu değişti.
Kabin amortisörü değişti.</t>
  </si>
  <si>
    <t>1 Adet 9/41 diferansiyel verildi.
Difersiyel takıldı.(Yol)</t>
  </si>
  <si>
    <t>522 Pro(Yeni)</t>
  </si>
  <si>
    <t>Yağ ve genel bakım yapıldı.</t>
  </si>
  <si>
    <t>2621 Cargo</t>
  </si>
  <si>
    <t>1 adet çift freze aks verildi.
Aks takıldı.(yol)</t>
  </si>
  <si>
    <t>Radyatör ve intercooler yıkandı.
Ağır-seri ventili değişti.</t>
  </si>
  <si>
    <t>Orta askıve kısa rot değişti.</t>
  </si>
  <si>
    <t>Tahliye değişti.(Yol)</t>
  </si>
  <si>
    <t>Yağ bakımı yapıldı.(Yol)
Fren beyin sibobu değişti.(Yol)</t>
  </si>
  <si>
    <t>Gergi makarası ve kayış değişimi yapıldı.(Yol)</t>
  </si>
  <si>
    <t>Motor arka muhafaza değişti.(Parça bizden)</t>
  </si>
  <si>
    <t>İki teker balata değişti.
Kaliper tamiri yapıldı.</t>
  </si>
  <si>
    <t>1846 cargo</t>
  </si>
  <si>
    <t>Klima kompresörü değişti.</t>
  </si>
  <si>
    <t>Yağ bakımı yapıldı.
Egzoz piston hortumu yapıldı.</t>
  </si>
  <si>
    <t>34 HJP 300</t>
  </si>
  <si>
    <t>Direksiyon hortumları değişti.</t>
  </si>
  <si>
    <t>Radyatör üst hortumu değişti.
Arka motor kulağı değişti.</t>
  </si>
  <si>
    <t>İntercooler hortumu değişti.
Dorse kaplin hortumu yapıldı.</t>
  </si>
  <si>
    <t>Motor yağ ayırıcı tamiri yapıldı.</t>
  </si>
  <si>
    <t>Enjektörler değişti.
Silindir kapağı değişti
4. göz piston değişti.</t>
  </si>
  <si>
    <t>Turbo değişti.</t>
  </si>
  <si>
    <t>Gergi ve kayış değişti.</t>
  </si>
  <si>
    <t>Radyatör yıkandı.</t>
  </si>
  <si>
    <t>Yola gidildi.
Radyatör ve intercooler yıkandı.</t>
  </si>
  <si>
    <t>Yağ bakımı yapıldı.
Dingil kaldırma körüğü değişti.</t>
  </si>
  <si>
    <t>16 U 3653</t>
  </si>
  <si>
    <t>Sağ sol dingil disk ve balataları değişti.</t>
  </si>
  <si>
    <t>Deve boynu değişti.(Yol)
3750 parça</t>
  </si>
  <si>
    <t xml:space="preserve">Sağ çeker kaliper tamiri yapıldı. </t>
  </si>
  <si>
    <t>Debriyaj üst merkezi değişti.(Yol)</t>
  </si>
  <si>
    <t>Kule cıvataları ve contası değişti.</t>
  </si>
  <si>
    <t>Turbo dirsek hortumu değişti.</t>
  </si>
  <si>
    <t>522 Pro(Eski)</t>
  </si>
  <si>
    <t>Enjektör ve pompa değişti.</t>
  </si>
  <si>
    <t>Ventil değişimi yapıldı.</t>
  </si>
  <si>
    <t>Çeker bijonları değişti.</t>
  </si>
  <si>
    <t>Şanzıman işçiliği yapıldı.(Plate verildi.)</t>
  </si>
  <si>
    <t>Çatıcı Levent</t>
  </si>
  <si>
    <t>Motor işçiliği yapıldı.(Piston kolu verildi.)</t>
  </si>
  <si>
    <t>Nurullah Köse</t>
  </si>
  <si>
    <t>Hava basınç müşuru değişti.(Yol)</t>
  </si>
  <si>
    <t>Motor kulak cıvataları değişti.</t>
  </si>
  <si>
    <t>1844 Axor</t>
  </si>
  <si>
    <t>Yağ bakımı yapıldı.
2 lt diferansiyel yağı eklendi.</t>
  </si>
  <si>
    <t>32228 Axor</t>
  </si>
  <si>
    <t xml:space="preserve">Şaft orta askısı değişti.  </t>
  </si>
  <si>
    <t>Ante İnşaat</t>
  </si>
  <si>
    <t>Rot başları değişti.
Çabuk tahliye değişti.</t>
  </si>
  <si>
    <t>Şanzıman yağı değişti.
Yağ çubuğu değişti.
V kayışı değişti.</t>
  </si>
  <si>
    <t>Vites kolu demiri tamiri yapıldı.</t>
  </si>
  <si>
    <t>16  BUD 158</t>
  </si>
  <si>
    <t>Enjektörler değişti.
Gergi makarası ve kayış değişti.
Kompresör su borusu ve su filtresi değişti.
Orta askı değişti.</t>
  </si>
  <si>
    <t>Gergi makarası değişti.(Sadece parça ücreti)</t>
  </si>
  <si>
    <t>3238 Axor</t>
  </si>
  <si>
    <t>Karter değişti.</t>
  </si>
  <si>
    <t>Direksiyon borusu değişti.(Yol)</t>
  </si>
  <si>
    <t>Dingil kaldırma körüğü değişti.</t>
  </si>
  <si>
    <t>Silindir kapak contası değişti.
Çeker disk ve balatalar değişti.</t>
  </si>
  <si>
    <t xml:space="preserve">İnegöllü Abi </t>
  </si>
  <si>
    <t>Motor işçiliği yapıldı.
Kompresör satıldı.</t>
  </si>
  <si>
    <t>Fren körüğü tamiri yapıldı.</t>
  </si>
  <si>
    <t>Tahliye ve dörtlü dağıtıcı değişti.(Yol)</t>
  </si>
  <si>
    <t>Direksiyon yağ kutusu değişti.
Turbo dirsek hortumu değişti.</t>
  </si>
  <si>
    <t xml:space="preserve">Debriyaj hortumu değişti.(Yol) </t>
  </si>
  <si>
    <t>Sibop ayarı yapıldı.
Kompresör hortumu değişti.
Bijonlar değişti.</t>
  </si>
  <si>
    <t xml:space="preserve">Ömer Çenis </t>
  </si>
  <si>
    <t>Teker bijonları değişti.</t>
  </si>
  <si>
    <t>Kompresör değişti.
Alt merkez tamiri yapıldı.
Kompresör borusu değişti.</t>
  </si>
  <si>
    <t>DAF</t>
  </si>
  <si>
    <t>Radyatör alt hortumu değişti.(Yol)</t>
  </si>
  <si>
    <t xml:space="preserve">Muşlu Ömer </t>
  </si>
  <si>
    <t>Dev Fatih</t>
  </si>
  <si>
    <t>Bijon ve kampana değişti.</t>
  </si>
  <si>
    <t>Tazyik sibobu ve basınç müşuru değişti.</t>
  </si>
  <si>
    <t>Çeker teker işçiliği.</t>
  </si>
  <si>
    <t>Cer pulu değişti.</t>
  </si>
  <si>
    <t>Debriyaj alt merkezi değişti.(Yol)
Debriyaj çatal kolu değişti.</t>
  </si>
  <si>
    <t>Yağ bakımı yapıldı.
Sibop ayarı yapıldı.</t>
  </si>
  <si>
    <t xml:space="preserve">Orta askı değişti. </t>
  </si>
  <si>
    <t>Direksiyon mafsalı değişti.
Gaz teli değişti.</t>
  </si>
  <si>
    <t xml:space="preserve">Baskı balata değişimi yapıldı. </t>
  </si>
  <si>
    <t>Yalçın Ağgül</t>
  </si>
  <si>
    <t>Körük lastiği değişti.</t>
  </si>
  <si>
    <t>Yağ bakımı yapıldı.
Radyatör temizlendi.
İntercooler değişti.
7500 radyatörcü ücreti.</t>
  </si>
  <si>
    <t>Metin Yıldız</t>
  </si>
  <si>
    <t>Motor yapıldı.</t>
  </si>
  <si>
    <t>Cer takıldı.(Yol)</t>
  </si>
  <si>
    <t>Direksiyon borusu değişti.
Antifriz değişti.</t>
  </si>
  <si>
    <t>Kampana değişti.
10 adet bijon değişti.</t>
  </si>
  <si>
    <t>16 BUD 158</t>
  </si>
  <si>
    <t>Dingil basma körüğü değişti.
Direksiyon keçesi değişti.
Fren hortumu değişti.</t>
  </si>
  <si>
    <t>Atego</t>
  </si>
  <si>
    <t>Direksiyon kutusu değişti.
Yağ bakımı yapıldı.</t>
  </si>
  <si>
    <t>Alt merkez değişti.</t>
  </si>
  <si>
    <t>Manifolt cıvataları değişti.
Röle ventili değişti.</t>
  </si>
  <si>
    <t xml:space="preserve">Kovan değişti.  </t>
  </si>
  <si>
    <t>Motor kulağı değişti.
Kabin krikosu değişti.</t>
  </si>
  <si>
    <t>34 LU 1996</t>
  </si>
  <si>
    <t>Manifold cıvataları değişti.</t>
  </si>
  <si>
    <t>3028 Axor</t>
  </si>
  <si>
    <t xml:space="preserve">16 LTN 43 </t>
  </si>
  <si>
    <t xml:space="preserve">Dörtlü dağıtıcı değişti. </t>
  </si>
  <si>
    <t>16 ATM 81</t>
  </si>
  <si>
    <t>Havalı alt merkez takıldı.</t>
  </si>
  <si>
    <t>Devirdaim değişti.
Basma körüğü değişti.</t>
  </si>
  <si>
    <t>Kabin amortisörleri değişti.</t>
  </si>
  <si>
    <t>Direksiyon borusu değişti.
Bijonlar değişti.</t>
  </si>
  <si>
    <t>16 BOY 080</t>
  </si>
  <si>
    <t>Çeker ve dingil balataları değişti.</t>
  </si>
  <si>
    <t>Röle ventili değişti.</t>
  </si>
  <si>
    <t>16 AYF 102</t>
  </si>
  <si>
    <t>Radyatör ve intercooler temizlendi.</t>
  </si>
  <si>
    <t>Balata ve bijon değişimi yapıldı.(bilinmeyen tarih)</t>
  </si>
  <si>
    <t>Kirli Hüseyin</t>
  </si>
  <si>
    <t>Şanzıman işçiliği yapıldı.(Dişli verildi.)(Baskı veya balata verildi.)</t>
  </si>
  <si>
    <t>35 UK 308</t>
  </si>
  <si>
    <t>Kompresör değişti.</t>
  </si>
  <si>
    <t>Muhammet Uygur</t>
  </si>
  <si>
    <t>16 LLF 12</t>
  </si>
  <si>
    <t xml:space="preserve">Şanzıman işçiliği yapıldı. 
Balatalar değişti.
Yağ bakımı yapıldı.
</t>
  </si>
  <si>
    <t xml:space="preserve">Ünal Ardil </t>
  </si>
  <si>
    <t>Enketör borusu değişti.</t>
  </si>
  <si>
    <t>16 BJJ 033</t>
  </si>
  <si>
    <t>16 BOJ 82</t>
  </si>
  <si>
    <t>Kompresör değişti.
Kompresör emiş hortumları değişti.</t>
  </si>
  <si>
    <t>16 BVK 776</t>
  </si>
  <si>
    <t>Kaplinler değişti.</t>
  </si>
  <si>
    <t>Ön dingil bilyası değişti.
Ön tabla değişti.</t>
  </si>
  <si>
    <t xml:space="preserve">Mert Asfalt </t>
  </si>
  <si>
    <t>16 LTL 58</t>
  </si>
  <si>
    <t>4 teker balata değişti.
1 teker keçe değişti.</t>
  </si>
  <si>
    <t>16 APB 691</t>
  </si>
  <si>
    <t xml:space="preserve">Ara merkez değişti. ***
</t>
  </si>
  <si>
    <t>Turbo diyafranı değişti.</t>
  </si>
  <si>
    <t>Motor kulağı cıvataları değişti.</t>
  </si>
  <si>
    <t>Cer değişimi yapıldı.</t>
  </si>
  <si>
    <t>16 KZ 810</t>
  </si>
  <si>
    <t>Vites rotilleri değişti.</t>
  </si>
  <si>
    <t>Kısa ve uzun rot değişti.</t>
  </si>
  <si>
    <t>Diferansiyel verildi.
Diferansiyel işçiliği yapıldı.</t>
  </si>
  <si>
    <t xml:space="preserve">Yakup Ardil </t>
  </si>
  <si>
    <t>Gergi ve kayış değişti.(Yol)</t>
  </si>
  <si>
    <t>49 AV 521</t>
  </si>
  <si>
    <t>Kurutucu değişti.(Yol)
Tahliye girişi temizlendi.(Yol)</t>
  </si>
  <si>
    <t>Diferansiyel söküldü.</t>
  </si>
  <si>
    <t>Teker keçesi değişti.</t>
  </si>
  <si>
    <t xml:space="preserve">16 BHK 590 </t>
  </si>
  <si>
    <t>Halat değişti.(Yol)</t>
  </si>
  <si>
    <t>Devirdaim değişti.
Enjektör kalem oringi değişti.</t>
  </si>
  <si>
    <t>&lt;24.04.2024</t>
  </si>
  <si>
    <t>Tem</t>
  </si>
  <si>
    <t>Ağu</t>
  </si>
  <si>
    <t>Eyl</t>
  </si>
  <si>
    <t>Eki</t>
  </si>
  <si>
    <t>Kas</t>
  </si>
  <si>
    <t>Uzun rot değişti.
Baskı balata değişimi.</t>
  </si>
  <si>
    <t>Manifolt cıvataları değişti.
Turbo emiş hortumu değişti.
Radyatör ve intercooler yıkandı.</t>
  </si>
  <si>
    <t xml:space="preserve">Hüseyin Zengin </t>
  </si>
  <si>
    <t>Deve boynu değişti.(Yol)</t>
  </si>
  <si>
    <t>Enjektörler değişti.</t>
  </si>
  <si>
    <t>34 BG 2896</t>
  </si>
  <si>
    <t>Orta askı tamiri.(Yol)
Kaldırma körüğü değişimi.</t>
  </si>
  <si>
    <t>16 BZD 05</t>
  </si>
  <si>
    <t>Yağ eklendi. ATF eklendi. Direksiyon filtresi değişti.</t>
  </si>
  <si>
    <t>Baskı balata değişimi (Parça bizden)</t>
  </si>
  <si>
    <t>Halil Kurban</t>
  </si>
  <si>
    <t>16 BD 249</t>
  </si>
  <si>
    <t>Debriyaj merkez çubuğu değişimi</t>
  </si>
  <si>
    <t>Musa Atiş</t>
  </si>
  <si>
    <t>16 JY 379</t>
  </si>
  <si>
    <t>Kompresör kapağı değişimi(Yol)</t>
  </si>
  <si>
    <t>16 AZE 219</t>
  </si>
  <si>
    <t>Kompresör değişti.
Yağ bakımı yapıldı.</t>
  </si>
  <si>
    <t>Dingil kaldırma bobini değişti.(parça bizden)</t>
  </si>
  <si>
    <t>Diferansiyel değişimi.(Yol)</t>
  </si>
  <si>
    <t>Radyatör değişimi (YOL)</t>
  </si>
  <si>
    <t>Halil Duran</t>
  </si>
  <si>
    <t xml:space="preserve">41 GF 877 </t>
  </si>
  <si>
    <t>Hüseyin Aktün</t>
  </si>
  <si>
    <t>16 BLN 823</t>
  </si>
  <si>
    <t xml:space="preserve">Motor kulağı değişti. </t>
  </si>
  <si>
    <t>Vites halatı bakımı yapıldı.</t>
  </si>
  <si>
    <t xml:space="preserve">2536 Cargo </t>
  </si>
  <si>
    <t>Şarj dinamosu değişti.</t>
  </si>
  <si>
    <t xml:space="preserve">İsrafiş Erdal </t>
  </si>
  <si>
    <t>Sibop kapak lastiği değişti.
Enjektör değişimi
Yağ bakımı yapıldı.</t>
  </si>
  <si>
    <t>Davut Karakaya</t>
  </si>
  <si>
    <t>Kompresör boruları değişti.
Tahliye değişti.
Kompresör değişti.(YOL)</t>
  </si>
  <si>
    <t xml:space="preserve">Dingil kaldırma bobini değişti. </t>
  </si>
  <si>
    <t xml:space="preserve">Aks değişti.(Yol)
</t>
  </si>
  <si>
    <t xml:space="preserve">Orta askı değişti. Yol </t>
  </si>
  <si>
    <t>Teker Keçesi değişti.</t>
  </si>
  <si>
    <t>Egzoz kelepçesi değişti.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</si>
</sst>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14" fontId="0" fillId="0" borderId="0" xfId="0" applyNumberFormat="1"/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6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[Akalın İş Takip.xlsx]Aylık İş !PivotTable2</c:name>
    <c:fmtId val="17"/>
  </c:pivotSource>
  <c:chart>
    <c:autoTitleDeleted val="1"/>
    <c:pivotFmts>
      <c:pivotFmt>
        <c:idx val="0"/>
        <c:spPr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5.7332272606735617E-2"/>
              <c:y val="-6.53381135909106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7.4728188809334489E-2"/>
              <c:y val="-6.0982239351516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6.677273932643861E-2"/>
              <c:y val="-8.27616105484868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7.4728188809334406E-2"/>
              <c:y val="-9.14733590272749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</c:pivotFmt>
      <c:pivotFmt>
        <c:idx val="6"/>
        <c:spPr>
          <a:solidFill>
            <a:schemeClr val="accent1"/>
          </a:solidFill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</c:pivotFmt>
      <c:pivotFmt>
        <c:idx val="7"/>
        <c:spPr>
          <a:solidFill>
            <a:schemeClr val="accent1"/>
          </a:solidFill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</c:pivotFmt>
      <c:pivotFmt>
        <c:idx val="8"/>
        <c:spPr>
          <a:solidFill>
            <a:schemeClr val="accent1"/>
          </a:solidFill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</c:pivotFmt>
      <c:pivotFmt>
        <c:idx val="9"/>
        <c:spPr>
          <a:solidFill>
            <a:schemeClr val="accent1"/>
          </a:solidFill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</c:pivotFmt>
      <c:pivotFmt>
        <c:idx val="10"/>
        <c:spPr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</c:pivotFmt>
      <c:pivotFmt>
        <c:idx val="11"/>
        <c:spPr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</c:pivotFmt>
      <c:pivotFmt>
        <c:idx val="12"/>
        <c:spPr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</c:pivotFmt>
      <c:pivotFmt>
        <c:idx val="13"/>
        <c:spPr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</c:pivotFmt>
      <c:pivotFmt>
        <c:idx val="14"/>
        <c:spPr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</c:pivotFmt>
      <c:pivotFmt>
        <c:idx val="15"/>
        <c:spPr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</c:pivotFmt>
      <c:pivotFmt>
        <c:idx val="16"/>
        <c:spPr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</c:pivotFmt>
      <c:pivotFmt>
        <c:idx val="17"/>
        <c:spPr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</c:pivotFmt>
      <c:pivotFmt>
        <c:idx val="18"/>
        <c:spPr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</c:pivotFmt>
      <c:pivotFmt>
        <c:idx val="19"/>
        <c:spPr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</c:pivotFmt>
      <c:pivotFmt>
        <c:idx val="20"/>
        <c:spPr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</c:pivotFmt>
      <c:pivotFmt>
        <c:idx val="21"/>
        <c:spPr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'Aylık İş '!$B$1</c:f>
              <c:strCache>
                <c:ptCount val="1"/>
                <c:pt idx="0">
                  <c:v>Toplam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Pt>
            <c:idx val="0"/>
            <c:marker>
              <c:symbol val="circle"/>
              <c:size val="17"/>
              <c:spPr>
                <a:solidFill>
                  <a:schemeClr val="lt1"/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ACC4-4719-8B4D-EA8D4C7AE532}"/>
              </c:ext>
            </c:extLst>
          </c:dPt>
          <c:dPt>
            <c:idx val="1"/>
            <c:marker>
              <c:symbol val="circle"/>
              <c:size val="17"/>
              <c:spPr>
                <a:solidFill>
                  <a:schemeClr val="lt1"/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ACC4-4719-8B4D-EA8D4C7AE532}"/>
              </c:ext>
            </c:extLst>
          </c:dPt>
          <c:dPt>
            <c:idx val="2"/>
            <c:marker>
              <c:symbol val="circle"/>
              <c:size val="17"/>
              <c:spPr>
                <a:solidFill>
                  <a:schemeClr val="lt1"/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ACC4-4719-8B4D-EA8D4C7AE532}"/>
              </c:ext>
            </c:extLst>
          </c:dPt>
          <c:dPt>
            <c:idx val="3"/>
            <c:marker>
              <c:symbol val="circle"/>
              <c:size val="17"/>
              <c:spPr>
                <a:solidFill>
                  <a:schemeClr val="lt1"/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ACC4-4719-8B4D-EA8D4C7AE53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'Aylık İş '!$A$2:$A$14</c:f>
              <c:strCache>
                <c:ptCount val="12"/>
                <c:pt idx="0">
                  <c:v>&lt;24.04.2024</c:v>
                </c:pt>
                <c:pt idx="1">
                  <c:v>Oca</c:v>
                </c:pt>
                <c:pt idx="2">
                  <c:v>Şub</c:v>
                </c:pt>
                <c:pt idx="3">
                  <c:v>Mar</c:v>
                </c:pt>
                <c:pt idx="4">
                  <c:v>Nis</c:v>
                </c:pt>
                <c:pt idx="5">
                  <c:v>May</c:v>
                </c:pt>
                <c:pt idx="6">
                  <c:v>Tem</c:v>
                </c:pt>
                <c:pt idx="7">
                  <c:v>Ağu</c:v>
                </c:pt>
                <c:pt idx="8">
                  <c:v>Eyl</c:v>
                </c:pt>
                <c:pt idx="9">
                  <c:v>Eki</c:v>
                </c:pt>
                <c:pt idx="10">
                  <c:v>Kas</c:v>
                </c:pt>
                <c:pt idx="11">
                  <c:v>Ara</c:v>
                </c:pt>
              </c:strCache>
            </c:strRef>
          </c:cat>
          <c:val>
            <c:numRef>
              <c:f>'Aylık İş '!$B$2:$B$14</c:f>
              <c:numCache>
                <c:formatCode>General</c:formatCode>
                <c:ptCount val="12"/>
                <c:pt idx="1">
                  <c:v>496875</c:v>
                </c:pt>
                <c:pt idx="2">
                  <c:v>259620</c:v>
                </c:pt>
                <c:pt idx="3">
                  <c:v>517750</c:v>
                </c:pt>
                <c:pt idx="4">
                  <c:v>192300</c:v>
                </c:pt>
                <c:pt idx="5">
                  <c:v>892650</c:v>
                </c:pt>
                <c:pt idx="6">
                  <c:v>50100</c:v>
                </c:pt>
                <c:pt idx="7">
                  <c:v>281600</c:v>
                </c:pt>
                <c:pt idx="8">
                  <c:v>324550</c:v>
                </c:pt>
                <c:pt idx="9">
                  <c:v>308800</c:v>
                </c:pt>
                <c:pt idx="10">
                  <c:v>7000</c:v>
                </c:pt>
                <c:pt idx="11">
                  <c:v>331250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C4-4719-8B4D-EA8D4C7AE53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26527615"/>
        <c:axId val="1926529535"/>
      </c:lineChart>
      <c:dateAx>
        <c:axId val="192652761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26529535"/>
        <c:crosses val="autoZero"/>
        <c:auto val="0"/>
        <c:lblOffset val="100"/>
        <c:baseTimeUnit val="days"/>
      </c:dateAx>
      <c:valAx>
        <c:axId val="19265295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26527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[Akalın İş Takip.xlsx]Müşteri Borç!PivotTable4</c:name>
    <c:fmtId val="1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'Müşteri Borç'!$B$1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'Müşteri Borç'!$A$2:$A$157</c:f>
              <c:strCache>
                <c:ptCount val="155"/>
                <c:pt idx="0">
                  <c:v> Şehmus Bilim</c:v>
                </c:pt>
                <c:pt idx="1">
                  <c:v>Abdulselam Aydın</c:v>
                </c:pt>
                <c:pt idx="2">
                  <c:v>Adnanoğulları</c:v>
                </c:pt>
                <c:pt idx="3">
                  <c:v>Ahmet(Aydın Gönderdi)</c:v>
                </c:pt>
                <c:pt idx="4">
                  <c:v>Ali Arslan</c:v>
                </c:pt>
                <c:pt idx="5">
                  <c:v>Anıt Asfalt</c:v>
                </c:pt>
                <c:pt idx="6">
                  <c:v>ANK</c:v>
                </c:pt>
                <c:pt idx="7">
                  <c:v>Aydın</c:v>
                </c:pt>
                <c:pt idx="8">
                  <c:v>Belediye Taşören Firma</c:v>
                </c:pt>
                <c:pt idx="9">
                  <c:v>Damperci Mustafa</c:v>
                </c:pt>
                <c:pt idx="10">
                  <c:v>Elik Yapı</c:v>
                </c:pt>
                <c:pt idx="11">
                  <c:v>Emin Sevim</c:v>
                </c:pt>
                <c:pt idx="12">
                  <c:v>Emin Yağcı</c:v>
                </c:pt>
                <c:pt idx="13">
                  <c:v>Er Yapı</c:v>
                </c:pt>
                <c:pt idx="14">
                  <c:v>Ergün İlhan</c:v>
                </c:pt>
                <c:pt idx="15">
                  <c:v>Erkan Koşulular</c:v>
                </c:pt>
                <c:pt idx="16">
                  <c:v>Erkan Sağlam</c:v>
                </c:pt>
                <c:pt idx="17">
                  <c:v>Erkan Sağlam </c:v>
                </c:pt>
                <c:pt idx="18">
                  <c:v>Fatih Aktaş</c:v>
                </c:pt>
                <c:pt idx="19">
                  <c:v>Fırat Ermiş</c:v>
                </c:pt>
                <c:pt idx="20">
                  <c:v>Furkan Çakmak</c:v>
                </c:pt>
                <c:pt idx="21">
                  <c:v>Hamdullah Kantaş</c:v>
                </c:pt>
                <c:pt idx="22">
                  <c:v>Hamza</c:v>
                </c:pt>
                <c:pt idx="23">
                  <c:v>Han Grup</c:v>
                </c:pt>
                <c:pt idx="24">
                  <c:v>Hasan Akar</c:v>
                </c:pt>
                <c:pt idx="25">
                  <c:v>Hasan Kurt</c:v>
                </c:pt>
                <c:pt idx="26">
                  <c:v>Hasan(Berat Çakmak)</c:v>
                </c:pt>
                <c:pt idx="27">
                  <c:v>Hayrullah Aktaş</c:v>
                </c:pt>
                <c:pt idx="28">
                  <c:v>Hikmet Polat</c:v>
                </c:pt>
                <c:pt idx="29">
                  <c:v>Hurdacı Cemil</c:v>
                </c:pt>
                <c:pt idx="30">
                  <c:v>Hüseyin Eş</c:v>
                </c:pt>
                <c:pt idx="31">
                  <c:v>Hüseyin Zengin</c:v>
                </c:pt>
                <c:pt idx="32">
                  <c:v>İdris Sucu</c:v>
                </c:pt>
                <c:pt idx="33">
                  <c:v>İsmail Yıldız</c:v>
                </c:pt>
                <c:pt idx="34">
                  <c:v>Kurt Ticaret</c:v>
                </c:pt>
                <c:pt idx="35">
                  <c:v>Mahmut Çakmak</c:v>
                </c:pt>
                <c:pt idx="36">
                  <c:v>Mehmet Dağdane</c:v>
                </c:pt>
                <c:pt idx="37">
                  <c:v>Mehmet Sönmez</c:v>
                </c:pt>
                <c:pt idx="38">
                  <c:v>Mesut Bayrak</c:v>
                </c:pt>
                <c:pt idx="39">
                  <c:v>Metin Atıcılar</c:v>
                </c:pt>
                <c:pt idx="40">
                  <c:v>Mevlüt Usta</c:v>
                </c:pt>
                <c:pt idx="41">
                  <c:v>Murtaza Toprak</c:v>
                </c:pt>
                <c:pt idx="42">
                  <c:v>Mustafa Kurban</c:v>
                </c:pt>
                <c:pt idx="43">
                  <c:v>Muşlu Reşit</c:v>
                </c:pt>
                <c:pt idx="44">
                  <c:v>Muşlu Sedat</c:v>
                </c:pt>
                <c:pt idx="45">
                  <c:v>Naim Tetik</c:v>
                </c:pt>
                <c:pt idx="46">
                  <c:v>Nurullah Aktaş</c:v>
                </c:pt>
                <c:pt idx="47">
                  <c:v>Nurullah Karakaya</c:v>
                </c:pt>
                <c:pt idx="48">
                  <c:v>Nusrettin Akınel</c:v>
                </c:pt>
                <c:pt idx="49">
                  <c:v>Oğuzhan Demir</c:v>
                </c:pt>
                <c:pt idx="50">
                  <c:v>Onur Toprak</c:v>
                </c:pt>
                <c:pt idx="51">
                  <c:v>Orhan Aktaş</c:v>
                </c:pt>
                <c:pt idx="52">
                  <c:v>Osman Güneş</c:v>
                </c:pt>
                <c:pt idx="53">
                  <c:v>Ömer Çenis</c:v>
                </c:pt>
                <c:pt idx="54">
                  <c:v>Pekcanlar</c:v>
                </c:pt>
                <c:pt idx="55">
                  <c:v>Rafet Bozkurt </c:v>
                </c:pt>
                <c:pt idx="56">
                  <c:v>Saffet Aras</c:v>
                </c:pt>
                <c:pt idx="57">
                  <c:v>Sedat Akar</c:v>
                </c:pt>
                <c:pt idx="58">
                  <c:v>Semih</c:v>
                </c:pt>
                <c:pt idx="59">
                  <c:v>Sezer Arslan</c:v>
                </c:pt>
                <c:pt idx="60">
                  <c:v>Sezer Karakaya</c:v>
                </c:pt>
                <c:pt idx="61">
                  <c:v>Sezer Keskin</c:v>
                </c:pt>
                <c:pt idx="62">
                  <c:v>Sintek İnşaat</c:v>
                </c:pt>
                <c:pt idx="63">
                  <c:v>Şehmus Bilim</c:v>
                </c:pt>
                <c:pt idx="64">
                  <c:v>Şeref Çelik</c:v>
                </c:pt>
                <c:pt idx="65">
                  <c:v>Şükrü Çaldır</c:v>
                </c:pt>
                <c:pt idx="66">
                  <c:v>Tayraş Yağ</c:v>
                </c:pt>
                <c:pt idx="67">
                  <c:v>Vedat Akar</c:v>
                </c:pt>
                <c:pt idx="68">
                  <c:v>Vedat Kutlu</c:v>
                </c:pt>
                <c:pt idx="69">
                  <c:v>Yılmaz</c:v>
                </c:pt>
                <c:pt idx="70">
                  <c:v>Yılmaz Sarı</c:v>
                </c:pt>
                <c:pt idx="71">
                  <c:v>Yunus Yıldız</c:v>
                </c:pt>
                <c:pt idx="72">
                  <c:v>Zülküf Han</c:v>
                </c:pt>
                <c:pt idx="73">
                  <c:v>(boş)</c:v>
                </c:pt>
                <c:pt idx="74">
                  <c:v>Kadir Abi</c:v>
                </c:pt>
                <c:pt idx="75">
                  <c:v>Ankaralı Dayı</c:v>
                </c:pt>
                <c:pt idx="76">
                  <c:v>Kenan Çelik </c:v>
                </c:pt>
                <c:pt idx="77">
                  <c:v>Kazım Elgaylı</c:v>
                </c:pt>
                <c:pt idx="78">
                  <c:v>Hikmet Demir</c:v>
                </c:pt>
                <c:pt idx="79">
                  <c:v>Ömer Muşlu</c:v>
                </c:pt>
                <c:pt idx="80">
                  <c:v>Semih(2526)</c:v>
                </c:pt>
                <c:pt idx="81">
                  <c:v>Bulut İnşaat</c:v>
                </c:pt>
                <c:pt idx="82">
                  <c:v>Fatih Aktaş'ın Dayısı</c:v>
                </c:pt>
                <c:pt idx="83">
                  <c:v>Anıt Dursun</c:v>
                </c:pt>
                <c:pt idx="84">
                  <c:v>Celalettin Çelik</c:v>
                </c:pt>
                <c:pt idx="85">
                  <c:v>İrfan Usta Tanıdık</c:v>
                </c:pt>
                <c:pt idx="86">
                  <c:v>Zakir</c:v>
                </c:pt>
                <c:pt idx="87">
                  <c:v>Selim Can</c:v>
                </c:pt>
                <c:pt idx="88">
                  <c:v>Vanlı Mehmet Amca </c:v>
                </c:pt>
                <c:pt idx="89">
                  <c:v>Mehmet Ali(Laz)</c:v>
                </c:pt>
                <c:pt idx="90">
                  <c:v>Şirin Karakaya</c:v>
                </c:pt>
                <c:pt idx="91">
                  <c:v>Berat Çakmak</c:v>
                </c:pt>
                <c:pt idx="92">
                  <c:v>Emin Bingöl</c:v>
                </c:pt>
                <c:pt idx="93">
                  <c:v>Hüseyin  Zengin</c:v>
                </c:pt>
                <c:pt idx="94">
                  <c:v>İsrafil Erdal</c:v>
                </c:pt>
                <c:pt idx="95">
                  <c:v>Nurullah Sönmez</c:v>
                </c:pt>
                <c:pt idx="96">
                  <c:v>Ekrem Çenis</c:v>
                </c:pt>
                <c:pt idx="97">
                  <c:v>Erdem Uyanık</c:v>
                </c:pt>
                <c:pt idx="98">
                  <c:v>Hüseyin Eş </c:v>
                </c:pt>
                <c:pt idx="99">
                  <c:v>Halit Karabey(Arap)</c:v>
                </c:pt>
                <c:pt idx="100">
                  <c:v>Kenan Kılıç</c:v>
                </c:pt>
                <c:pt idx="101">
                  <c:v>Nurullah Kır</c:v>
                </c:pt>
                <c:pt idx="102">
                  <c:v>Zekeriya Amca</c:v>
                </c:pt>
                <c:pt idx="103">
                  <c:v>Mehmet Ali</c:v>
                </c:pt>
                <c:pt idx="104">
                  <c:v>Bekçi Vinç(Sintek)</c:v>
                </c:pt>
                <c:pt idx="105">
                  <c:v>Ünal Ardil</c:v>
                </c:pt>
                <c:pt idx="106">
                  <c:v>Sıraç Kaya </c:v>
                </c:pt>
                <c:pt idx="107">
                  <c:v>Murat Aktaş</c:v>
                </c:pt>
                <c:pt idx="108">
                  <c:v>Hayrettin Kantaş</c:v>
                </c:pt>
                <c:pt idx="109">
                  <c:v>Tahsin Bulut</c:v>
                </c:pt>
                <c:pt idx="110">
                  <c:v>Sedat Avcıoğlu
(Eskişehirli)</c:v>
                </c:pt>
                <c:pt idx="111">
                  <c:v>Cumali Halitoğlu </c:v>
                </c:pt>
                <c:pt idx="112">
                  <c:v>Ömer Karalı</c:v>
                </c:pt>
                <c:pt idx="113">
                  <c:v>Muhammet Muşlu</c:v>
                </c:pt>
                <c:pt idx="114">
                  <c:v>Sait Muşlu</c:v>
                </c:pt>
                <c:pt idx="115">
                  <c:v>Ömer Toprak</c:v>
                </c:pt>
                <c:pt idx="116">
                  <c:v>Kasım Satır </c:v>
                </c:pt>
                <c:pt idx="117">
                  <c:v>Enes Muşlu</c:v>
                </c:pt>
                <c:pt idx="118">
                  <c:v>Üç Şahinler</c:v>
                </c:pt>
                <c:pt idx="119">
                  <c:v>İdris Muşlu </c:v>
                </c:pt>
                <c:pt idx="120">
                  <c:v>Yağcı</c:v>
                </c:pt>
                <c:pt idx="121">
                  <c:v>Yakup Çiftçi</c:v>
                </c:pt>
                <c:pt idx="122">
                  <c:v>MEBESA</c:v>
                </c:pt>
                <c:pt idx="123">
                  <c:v>Nezih</c:v>
                </c:pt>
                <c:pt idx="124">
                  <c:v>Nezih </c:v>
                </c:pt>
                <c:pt idx="125">
                  <c:v>Çataltepeli Serdar</c:v>
                </c:pt>
                <c:pt idx="126">
                  <c:v>Hayati</c:v>
                </c:pt>
                <c:pt idx="127">
                  <c:v>Hüseyin Akyün</c:v>
                </c:pt>
                <c:pt idx="128">
                  <c:v>Müşteri</c:v>
                </c:pt>
                <c:pt idx="129">
                  <c:v>Nezih Polat</c:v>
                </c:pt>
                <c:pt idx="130">
                  <c:v>Özşimşekler</c:v>
                </c:pt>
                <c:pt idx="131">
                  <c:v>Sinan Kaya</c:v>
                </c:pt>
                <c:pt idx="132">
                  <c:v>Özer Abi(Sarı Axor)</c:v>
                </c:pt>
                <c:pt idx="133">
                  <c:v>Yenişehirli Abi</c:v>
                </c:pt>
                <c:pt idx="134">
                  <c:v>Bilal Ardil</c:v>
                </c:pt>
                <c:pt idx="135">
                  <c:v>Emrah Babacan</c:v>
                </c:pt>
                <c:pt idx="136">
                  <c:v>Mehmet Topuz</c:v>
                </c:pt>
                <c:pt idx="137">
                  <c:v>Fuat Karakaya</c:v>
                </c:pt>
                <c:pt idx="138">
                  <c:v>Ekin Ardil</c:v>
                </c:pt>
                <c:pt idx="139">
                  <c:v>Hamza Karakaya</c:v>
                </c:pt>
                <c:pt idx="140">
                  <c:v>Hayrullah Konçak</c:v>
                </c:pt>
                <c:pt idx="141">
                  <c:v>Nihat Kantar</c:v>
                </c:pt>
                <c:pt idx="142">
                  <c:v>Çatıcı Levent</c:v>
                </c:pt>
                <c:pt idx="143">
                  <c:v>Nurullah Köse</c:v>
                </c:pt>
                <c:pt idx="144">
                  <c:v>Ante İnşaat</c:v>
                </c:pt>
                <c:pt idx="145">
                  <c:v>İnegöllü Abi </c:v>
                </c:pt>
                <c:pt idx="146">
                  <c:v>Ömer Çenis </c:v>
                </c:pt>
                <c:pt idx="147">
                  <c:v>Muşlu Ömer </c:v>
                </c:pt>
                <c:pt idx="148">
                  <c:v>Yalçın Ağgül</c:v>
                </c:pt>
                <c:pt idx="149">
                  <c:v>Metin Yıldız</c:v>
                </c:pt>
                <c:pt idx="150">
                  <c:v>Kirli Hüseyin</c:v>
                </c:pt>
                <c:pt idx="151">
                  <c:v>Muhammet Uygur</c:v>
                </c:pt>
                <c:pt idx="152">
                  <c:v>Ünal Ardil </c:v>
                </c:pt>
                <c:pt idx="153">
                  <c:v>Mert Asfalt </c:v>
                </c:pt>
                <c:pt idx="154">
                  <c:v>Yakup Ardil </c:v>
                </c:pt>
              </c:strCache>
            </c:strRef>
          </c:cat>
          <c:val>
            <c:numRef>
              <c:f>'Müşteri Borç'!$B$2:$B$157</c:f>
              <c:numCache>
                <c:formatCode>General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6000</c:v>
                </c:pt>
                <c:pt idx="3">
                  <c:v>0</c:v>
                </c:pt>
                <c:pt idx="4">
                  <c:v>27000</c:v>
                </c:pt>
                <c:pt idx="5">
                  <c:v>5000</c:v>
                </c:pt>
                <c:pt idx="6">
                  <c:v>0</c:v>
                </c:pt>
                <c:pt idx="7">
                  <c:v>0</c:v>
                </c:pt>
                <c:pt idx="8">
                  <c:v>1000</c:v>
                </c:pt>
                <c:pt idx="9">
                  <c:v>0</c:v>
                </c:pt>
                <c:pt idx="10">
                  <c:v>13500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2000</c:v>
                </c:pt>
                <c:pt idx="24">
                  <c:v>4000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27000</c:v>
                </c:pt>
                <c:pt idx="31">
                  <c:v>0</c:v>
                </c:pt>
                <c:pt idx="32">
                  <c:v>15500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9000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3500</c:v>
                </c:pt>
                <c:pt idx="44">
                  <c:v>0</c:v>
                </c:pt>
                <c:pt idx="45">
                  <c:v>13500</c:v>
                </c:pt>
                <c:pt idx="46">
                  <c:v>14500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2500</c:v>
                </c:pt>
                <c:pt idx="52">
                  <c:v>0</c:v>
                </c:pt>
                <c:pt idx="53">
                  <c:v>6500</c:v>
                </c:pt>
                <c:pt idx="54">
                  <c:v>76000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68250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10000</c:v>
                </c:pt>
                <c:pt idx="82">
                  <c:v>0</c:v>
                </c:pt>
                <c:pt idx="83">
                  <c:v>2500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6750</c:v>
                </c:pt>
                <c:pt idx="93">
                  <c:v>0</c:v>
                </c:pt>
                <c:pt idx="94">
                  <c:v>0</c:v>
                </c:pt>
                <c:pt idx="95">
                  <c:v>3000</c:v>
                </c:pt>
                <c:pt idx="96">
                  <c:v>0</c:v>
                </c:pt>
                <c:pt idx="97">
                  <c:v>0</c:v>
                </c:pt>
                <c:pt idx="98">
                  <c:v>11500</c:v>
                </c:pt>
                <c:pt idx="99">
                  <c:v>0</c:v>
                </c:pt>
                <c:pt idx="100">
                  <c:v>1400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2000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2100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350000</c:v>
                </c:pt>
                <c:pt idx="125">
                  <c:v>17500</c:v>
                </c:pt>
                <c:pt idx="126">
                  <c:v>15000</c:v>
                </c:pt>
                <c:pt idx="127">
                  <c:v>0</c:v>
                </c:pt>
                <c:pt idx="128">
                  <c:v>0</c:v>
                </c:pt>
                <c:pt idx="129">
                  <c:v>2000</c:v>
                </c:pt>
                <c:pt idx="130">
                  <c:v>4000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5000</c:v>
                </c:pt>
                <c:pt idx="135">
                  <c:v>0</c:v>
                </c:pt>
                <c:pt idx="136">
                  <c:v>5000</c:v>
                </c:pt>
                <c:pt idx="137">
                  <c:v>1000</c:v>
                </c:pt>
                <c:pt idx="138">
                  <c:v>0</c:v>
                </c:pt>
                <c:pt idx="139">
                  <c:v>0</c:v>
                </c:pt>
                <c:pt idx="140">
                  <c:v>1000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4500</c:v>
                </c:pt>
                <c:pt idx="145">
                  <c:v>0</c:v>
                </c:pt>
                <c:pt idx="146">
                  <c:v>6000</c:v>
                </c:pt>
                <c:pt idx="147">
                  <c:v>0</c:v>
                </c:pt>
                <c:pt idx="148">
                  <c:v>0</c:v>
                </c:pt>
                <c:pt idx="149">
                  <c:v>35000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10000</c:v>
                </c:pt>
                <c:pt idx="15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EC-4925-8E75-957F781C99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931717599"/>
        <c:axId val="1931718559"/>
      </c:barChart>
      <c:catAx>
        <c:axId val="1931717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31718559"/>
        <c:crosses val="autoZero"/>
        <c:auto val="1"/>
        <c:lblAlgn val="ctr"/>
        <c:lblOffset val="100"/>
        <c:noMultiLvlLbl val="0"/>
      </c:catAx>
      <c:valAx>
        <c:axId val="19317185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31717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[Akalın İş Takip.xlsx]Müşteri Getiri!PivotTable5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'Müşteri Getiri'!$B$1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'Müşteri Getiri'!$A$2:$A$157</c:f>
              <c:strCache>
                <c:ptCount val="155"/>
                <c:pt idx="0">
                  <c:v> Şehmus Bilim</c:v>
                </c:pt>
                <c:pt idx="1">
                  <c:v>Abdulselam Aydın</c:v>
                </c:pt>
                <c:pt idx="2">
                  <c:v>Adnanoğulları</c:v>
                </c:pt>
                <c:pt idx="3">
                  <c:v>Ahmet(Aydın Gönderdi)</c:v>
                </c:pt>
                <c:pt idx="4">
                  <c:v>Ali Arslan</c:v>
                </c:pt>
                <c:pt idx="5">
                  <c:v>Anıt Asfalt</c:v>
                </c:pt>
                <c:pt idx="6">
                  <c:v>ANK</c:v>
                </c:pt>
                <c:pt idx="7">
                  <c:v>Aydın</c:v>
                </c:pt>
                <c:pt idx="8">
                  <c:v>Belediye Taşören Firma</c:v>
                </c:pt>
                <c:pt idx="9">
                  <c:v>Damperci Mustafa</c:v>
                </c:pt>
                <c:pt idx="10">
                  <c:v>Elik Yapı</c:v>
                </c:pt>
                <c:pt idx="11">
                  <c:v>Emin Sevim</c:v>
                </c:pt>
                <c:pt idx="12">
                  <c:v>Emin Yağcı</c:v>
                </c:pt>
                <c:pt idx="13">
                  <c:v>Er Yapı</c:v>
                </c:pt>
                <c:pt idx="14">
                  <c:v>Ergün İlhan</c:v>
                </c:pt>
                <c:pt idx="15">
                  <c:v>Erkan Koşulular</c:v>
                </c:pt>
                <c:pt idx="16">
                  <c:v>Erkan Sağlam</c:v>
                </c:pt>
                <c:pt idx="17">
                  <c:v>Erkan Sağlam </c:v>
                </c:pt>
                <c:pt idx="18">
                  <c:v>Fatih Aktaş</c:v>
                </c:pt>
                <c:pt idx="19">
                  <c:v>Fırat Ermiş</c:v>
                </c:pt>
                <c:pt idx="20">
                  <c:v>Furkan Çakmak</c:v>
                </c:pt>
                <c:pt idx="21">
                  <c:v>Hamdullah Kantaş</c:v>
                </c:pt>
                <c:pt idx="22">
                  <c:v>Hamza</c:v>
                </c:pt>
                <c:pt idx="23">
                  <c:v>Han Grup</c:v>
                </c:pt>
                <c:pt idx="24">
                  <c:v>Hasan Akar</c:v>
                </c:pt>
                <c:pt idx="25">
                  <c:v>Hasan Kurt</c:v>
                </c:pt>
                <c:pt idx="26">
                  <c:v>Hasan(Berat Çakmak)</c:v>
                </c:pt>
                <c:pt idx="27">
                  <c:v>Hayrullah Aktaş</c:v>
                </c:pt>
                <c:pt idx="28">
                  <c:v>Hikmet Polat</c:v>
                </c:pt>
                <c:pt idx="29">
                  <c:v>Hurdacı Cemil</c:v>
                </c:pt>
                <c:pt idx="30">
                  <c:v>Hüseyin Eş</c:v>
                </c:pt>
                <c:pt idx="31">
                  <c:v>Hüseyin Zengin</c:v>
                </c:pt>
                <c:pt idx="32">
                  <c:v>İdris Sucu</c:v>
                </c:pt>
                <c:pt idx="33">
                  <c:v>İsmail Yıldız</c:v>
                </c:pt>
                <c:pt idx="34">
                  <c:v>Kurt Ticaret</c:v>
                </c:pt>
                <c:pt idx="35">
                  <c:v>Mahmut Çakmak</c:v>
                </c:pt>
                <c:pt idx="36">
                  <c:v>Mehmet Dağdane</c:v>
                </c:pt>
                <c:pt idx="37">
                  <c:v>Mehmet Sönmez</c:v>
                </c:pt>
                <c:pt idx="38">
                  <c:v>Mesut Bayrak</c:v>
                </c:pt>
                <c:pt idx="39">
                  <c:v>Metin Atıcılar</c:v>
                </c:pt>
                <c:pt idx="40">
                  <c:v>Mevlüt Usta</c:v>
                </c:pt>
                <c:pt idx="41">
                  <c:v>Murtaza Toprak</c:v>
                </c:pt>
                <c:pt idx="42">
                  <c:v>Mustafa Kurban</c:v>
                </c:pt>
                <c:pt idx="43">
                  <c:v>Muşlu Reşit</c:v>
                </c:pt>
                <c:pt idx="44">
                  <c:v>Muşlu Sedat</c:v>
                </c:pt>
                <c:pt idx="45">
                  <c:v>Naim Tetik</c:v>
                </c:pt>
                <c:pt idx="46">
                  <c:v>Nurullah Aktaş</c:v>
                </c:pt>
                <c:pt idx="47">
                  <c:v>Nurullah Karakaya</c:v>
                </c:pt>
                <c:pt idx="48">
                  <c:v>Nusrettin Akınel</c:v>
                </c:pt>
                <c:pt idx="49">
                  <c:v>Oğuzhan Demir</c:v>
                </c:pt>
                <c:pt idx="50">
                  <c:v>Onur Toprak</c:v>
                </c:pt>
                <c:pt idx="51">
                  <c:v>Orhan Aktaş</c:v>
                </c:pt>
                <c:pt idx="52">
                  <c:v>Osman Güneş</c:v>
                </c:pt>
                <c:pt idx="53">
                  <c:v>Ömer Çenis</c:v>
                </c:pt>
                <c:pt idx="54">
                  <c:v>Pekcanlar</c:v>
                </c:pt>
                <c:pt idx="55">
                  <c:v>Rafet Bozkurt </c:v>
                </c:pt>
                <c:pt idx="56">
                  <c:v>Saffet Aras</c:v>
                </c:pt>
                <c:pt idx="57">
                  <c:v>Sedat Akar</c:v>
                </c:pt>
                <c:pt idx="58">
                  <c:v>Semih</c:v>
                </c:pt>
                <c:pt idx="59">
                  <c:v>Sezer Arslan</c:v>
                </c:pt>
                <c:pt idx="60">
                  <c:v>Sezer Karakaya</c:v>
                </c:pt>
                <c:pt idx="61">
                  <c:v>Sezer Keskin</c:v>
                </c:pt>
                <c:pt idx="62">
                  <c:v>Sintek İnşaat</c:v>
                </c:pt>
                <c:pt idx="63">
                  <c:v>Şehmus Bilim</c:v>
                </c:pt>
                <c:pt idx="64">
                  <c:v>Şeref Çelik</c:v>
                </c:pt>
                <c:pt idx="65">
                  <c:v>Şükrü Çaldır</c:v>
                </c:pt>
                <c:pt idx="66">
                  <c:v>Tayraş Yağ</c:v>
                </c:pt>
                <c:pt idx="67">
                  <c:v>Vedat Akar</c:v>
                </c:pt>
                <c:pt idx="68">
                  <c:v>Vedat Kutlu</c:v>
                </c:pt>
                <c:pt idx="69">
                  <c:v>Yılmaz</c:v>
                </c:pt>
                <c:pt idx="70">
                  <c:v>Yılmaz Sarı</c:v>
                </c:pt>
                <c:pt idx="71">
                  <c:v>Yunus Yıldız</c:v>
                </c:pt>
                <c:pt idx="72">
                  <c:v>Zülküf Han</c:v>
                </c:pt>
                <c:pt idx="73">
                  <c:v>(boş)</c:v>
                </c:pt>
                <c:pt idx="74">
                  <c:v>Kadir Abi</c:v>
                </c:pt>
                <c:pt idx="75">
                  <c:v>Ankaralı Dayı</c:v>
                </c:pt>
                <c:pt idx="76">
                  <c:v>Kenan Çelik </c:v>
                </c:pt>
                <c:pt idx="77">
                  <c:v>Kazım Elgaylı</c:v>
                </c:pt>
                <c:pt idx="78">
                  <c:v>Hikmet Demir</c:v>
                </c:pt>
                <c:pt idx="79">
                  <c:v>Ömer Muşlu</c:v>
                </c:pt>
                <c:pt idx="80">
                  <c:v>Semih(2526)</c:v>
                </c:pt>
                <c:pt idx="81">
                  <c:v>Bulut İnşaat</c:v>
                </c:pt>
                <c:pt idx="82">
                  <c:v>Fatih Aktaş'ın Dayısı</c:v>
                </c:pt>
                <c:pt idx="83">
                  <c:v>Anıt Dursun</c:v>
                </c:pt>
                <c:pt idx="84">
                  <c:v>Celalettin Çelik</c:v>
                </c:pt>
                <c:pt idx="85">
                  <c:v>İrfan Usta Tanıdık</c:v>
                </c:pt>
                <c:pt idx="86">
                  <c:v>Zakir</c:v>
                </c:pt>
                <c:pt idx="87">
                  <c:v>Selim Can</c:v>
                </c:pt>
                <c:pt idx="88">
                  <c:v>Vanlı Mehmet Amca </c:v>
                </c:pt>
                <c:pt idx="89">
                  <c:v>Mehmet Ali(Laz)</c:v>
                </c:pt>
                <c:pt idx="90">
                  <c:v>Şirin Karakaya</c:v>
                </c:pt>
                <c:pt idx="91">
                  <c:v>Berat Çakmak</c:v>
                </c:pt>
                <c:pt idx="92">
                  <c:v>Emin Bingöl</c:v>
                </c:pt>
                <c:pt idx="93">
                  <c:v>Hüseyin  Zengin</c:v>
                </c:pt>
                <c:pt idx="94">
                  <c:v>İsrafil Erdal</c:v>
                </c:pt>
                <c:pt idx="95">
                  <c:v>Nurullah Sönmez</c:v>
                </c:pt>
                <c:pt idx="96">
                  <c:v>Ekrem Çenis</c:v>
                </c:pt>
                <c:pt idx="97">
                  <c:v>Erdem Uyanık</c:v>
                </c:pt>
                <c:pt idx="98">
                  <c:v>Hüseyin Eş </c:v>
                </c:pt>
                <c:pt idx="99">
                  <c:v>Halit Karabey(Arap)</c:v>
                </c:pt>
                <c:pt idx="100">
                  <c:v>Kenan Kılıç</c:v>
                </c:pt>
                <c:pt idx="101">
                  <c:v>Nurullah Kır</c:v>
                </c:pt>
                <c:pt idx="102">
                  <c:v>Zekeriya Amca</c:v>
                </c:pt>
                <c:pt idx="103">
                  <c:v>Mehmet Ali</c:v>
                </c:pt>
                <c:pt idx="104">
                  <c:v>Bekçi Vinç(Sintek)</c:v>
                </c:pt>
                <c:pt idx="105">
                  <c:v>Ünal Ardil</c:v>
                </c:pt>
                <c:pt idx="106">
                  <c:v>Sıraç Kaya </c:v>
                </c:pt>
                <c:pt idx="107">
                  <c:v>Murat Aktaş</c:v>
                </c:pt>
                <c:pt idx="108">
                  <c:v>Hayrettin Kantaş</c:v>
                </c:pt>
                <c:pt idx="109">
                  <c:v>Tahsin Bulut</c:v>
                </c:pt>
                <c:pt idx="110">
                  <c:v>Sedat Avcıoğlu
(Eskişehirli)</c:v>
                </c:pt>
                <c:pt idx="111">
                  <c:v>Cumali Halitoğlu </c:v>
                </c:pt>
                <c:pt idx="112">
                  <c:v>Ömer Karalı</c:v>
                </c:pt>
                <c:pt idx="113">
                  <c:v>Muhammet Muşlu</c:v>
                </c:pt>
                <c:pt idx="114">
                  <c:v>Sait Muşlu</c:v>
                </c:pt>
                <c:pt idx="115">
                  <c:v>Ömer Toprak</c:v>
                </c:pt>
                <c:pt idx="116">
                  <c:v>Kasım Satır </c:v>
                </c:pt>
                <c:pt idx="117">
                  <c:v>Enes Muşlu</c:v>
                </c:pt>
                <c:pt idx="118">
                  <c:v>Üç Şahinler</c:v>
                </c:pt>
                <c:pt idx="119">
                  <c:v>İdris Muşlu </c:v>
                </c:pt>
                <c:pt idx="120">
                  <c:v>Yağcı</c:v>
                </c:pt>
                <c:pt idx="121">
                  <c:v>Yakup Çiftçi</c:v>
                </c:pt>
                <c:pt idx="122">
                  <c:v>MEBESA</c:v>
                </c:pt>
                <c:pt idx="123">
                  <c:v>Nezih</c:v>
                </c:pt>
                <c:pt idx="124">
                  <c:v>Nezih </c:v>
                </c:pt>
                <c:pt idx="125">
                  <c:v>Çataltepeli Serdar</c:v>
                </c:pt>
                <c:pt idx="126">
                  <c:v>Hayati</c:v>
                </c:pt>
                <c:pt idx="127">
                  <c:v>Hüseyin Akyün</c:v>
                </c:pt>
                <c:pt idx="128">
                  <c:v>Müşteri</c:v>
                </c:pt>
                <c:pt idx="129">
                  <c:v>Nezih Polat</c:v>
                </c:pt>
                <c:pt idx="130">
                  <c:v>Özşimşekler</c:v>
                </c:pt>
                <c:pt idx="131">
                  <c:v>Sinan Kaya</c:v>
                </c:pt>
                <c:pt idx="132">
                  <c:v>Özer Abi(Sarı Axor)</c:v>
                </c:pt>
                <c:pt idx="133">
                  <c:v>Yenişehirli Abi</c:v>
                </c:pt>
                <c:pt idx="134">
                  <c:v>Bilal Ardil</c:v>
                </c:pt>
                <c:pt idx="135">
                  <c:v>Emrah Babacan</c:v>
                </c:pt>
                <c:pt idx="136">
                  <c:v>Mehmet Topuz</c:v>
                </c:pt>
                <c:pt idx="137">
                  <c:v>Fuat Karakaya</c:v>
                </c:pt>
                <c:pt idx="138">
                  <c:v>Ekin Ardil</c:v>
                </c:pt>
                <c:pt idx="139">
                  <c:v>Hamza Karakaya</c:v>
                </c:pt>
                <c:pt idx="140">
                  <c:v>Hayrullah Konçak</c:v>
                </c:pt>
                <c:pt idx="141">
                  <c:v>Nihat Kantar</c:v>
                </c:pt>
                <c:pt idx="142">
                  <c:v>Çatıcı Levent</c:v>
                </c:pt>
                <c:pt idx="143">
                  <c:v>Nurullah Köse</c:v>
                </c:pt>
                <c:pt idx="144">
                  <c:v>Ante İnşaat</c:v>
                </c:pt>
                <c:pt idx="145">
                  <c:v>İnegöllü Abi </c:v>
                </c:pt>
                <c:pt idx="146">
                  <c:v>Ömer Çenis </c:v>
                </c:pt>
                <c:pt idx="147">
                  <c:v>Muşlu Ömer </c:v>
                </c:pt>
                <c:pt idx="148">
                  <c:v>Yalçın Ağgül</c:v>
                </c:pt>
                <c:pt idx="149">
                  <c:v>Metin Yıldız</c:v>
                </c:pt>
                <c:pt idx="150">
                  <c:v>Kirli Hüseyin</c:v>
                </c:pt>
                <c:pt idx="151">
                  <c:v>Muhammet Uygur</c:v>
                </c:pt>
                <c:pt idx="152">
                  <c:v>Ünal Ardil </c:v>
                </c:pt>
                <c:pt idx="153">
                  <c:v>Mert Asfalt </c:v>
                </c:pt>
                <c:pt idx="154">
                  <c:v>Yakup Ardil </c:v>
                </c:pt>
              </c:strCache>
            </c:strRef>
          </c:cat>
          <c:val>
            <c:numRef>
              <c:f>'Müşteri Getiri'!$B$2:$B$157</c:f>
              <c:numCache>
                <c:formatCode>General</c:formatCode>
                <c:ptCount val="155"/>
                <c:pt idx="0">
                  <c:v>400</c:v>
                </c:pt>
                <c:pt idx="1">
                  <c:v>1500</c:v>
                </c:pt>
                <c:pt idx="2">
                  <c:v>23500</c:v>
                </c:pt>
                <c:pt idx="3">
                  <c:v>30000</c:v>
                </c:pt>
                <c:pt idx="4">
                  <c:v>47000</c:v>
                </c:pt>
                <c:pt idx="5">
                  <c:v>137000</c:v>
                </c:pt>
                <c:pt idx="6">
                  <c:v>7500</c:v>
                </c:pt>
                <c:pt idx="7">
                  <c:v>50000</c:v>
                </c:pt>
                <c:pt idx="8">
                  <c:v>1000</c:v>
                </c:pt>
                <c:pt idx="9">
                  <c:v>5000</c:v>
                </c:pt>
                <c:pt idx="10">
                  <c:v>75900</c:v>
                </c:pt>
                <c:pt idx="11">
                  <c:v>5800</c:v>
                </c:pt>
                <c:pt idx="12">
                  <c:v>79500</c:v>
                </c:pt>
                <c:pt idx="13">
                  <c:v>3000</c:v>
                </c:pt>
                <c:pt idx="14">
                  <c:v>0</c:v>
                </c:pt>
                <c:pt idx="15">
                  <c:v>38000</c:v>
                </c:pt>
                <c:pt idx="16">
                  <c:v>6500</c:v>
                </c:pt>
                <c:pt idx="17">
                  <c:v>1000</c:v>
                </c:pt>
                <c:pt idx="18">
                  <c:v>27300</c:v>
                </c:pt>
                <c:pt idx="19">
                  <c:v>500</c:v>
                </c:pt>
                <c:pt idx="20">
                  <c:v>2500</c:v>
                </c:pt>
                <c:pt idx="21">
                  <c:v>39000</c:v>
                </c:pt>
                <c:pt idx="22">
                  <c:v>11000</c:v>
                </c:pt>
                <c:pt idx="23">
                  <c:v>103800</c:v>
                </c:pt>
                <c:pt idx="24">
                  <c:v>15000</c:v>
                </c:pt>
                <c:pt idx="25">
                  <c:v>1500</c:v>
                </c:pt>
                <c:pt idx="26">
                  <c:v>900</c:v>
                </c:pt>
                <c:pt idx="27">
                  <c:v>3500</c:v>
                </c:pt>
                <c:pt idx="28">
                  <c:v>157100</c:v>
                </c:pt>
                <c:pt idx="29">
                  <c:v>7205</c:v>
                </c:pt>
                <c:pt idx="30">
                  <c:v>81500</c:v>
                </c:pt>
                <c:pt idx="31">
                  <c:v>10200</c:v>
                </c:pt>
                <c:pt idx="32">
                  <c:v>22300</c:v>
                </c:pt>
                <c:pt idx="33">
                  <c:v>1500</c:v>
                </c:pt>
                <c:pt idx="34">
                  <c:v>3000</c:v>
                </c:pt>
                <c:pt idx="35">
                  <c:v>11000</c:v>
                </c:pt>
                <c:pt idx="36">
                  <c:v>10140</c:v>
                </c:pt>
                <c:pt idx="37">
                  <c:v>3500</c:v>
                </c:pt>
                <c:pt idx="38">
                  <c:v>30000</c:v>
                </c:pt>
                <c:pt idx="39">
                  <c:v>5200</c:v>
                </c:pt>
                <c:pt idx="40">
                  <c:v>400</c:v>
                </c:pt>
                <c:pt idx="41">
                  <c:v>950</c:v>
                </c:pt>
                <c:pt idx="42">
                  <c:v>29700</c:v>
                </c:pt>
                <c:pt idx="43">
                  <c:v>3500</c:v>
                </c:pt>
                <c:pt idx="44">
                  <c:v>22500</c:v>
                </c:pt>
                <c:pt idx="45">
                  <c:v>15500</c:v>
                </c:pt>
                <c:pt idx="46">
                  <c:v>37500</c:v>
                </c:pt>
                <c:pt idx="47">
                  <c:v>3000</c:v>
                </c:pt>
                <c:pt idx="48">
                  <c:v>2300</c:v>
                </c:pt>
                <c:pt idx="49">
                  <c:v>13800</c:v>
                </c:pt>
                <c:pt idx="50">
                  <c:v>10800</c:v>
                </c:pt>
                <c:pt idx="51">
                  <c:v>17500</c:v>
                </c:pt>
                <c:pt idx="52">
                  <c:v>1250</c:v>
                </c:pt>
                <c:pt idx="53">
                  <c:v>17900</c:v>
                </c:pt>
                <c:pt idx="54">
                  <c:v>177100</c:v>
                </c:pt>
                <c:pt idx="55">
                  <c:v>60000</c:v>
                </c:pt>
                <c:pt idx="56">
                  <c:v>9450</c:v>
                </c:pt>
                <c:pt idx="57">
                  <c:v>9800</c:v>
                </c:pt>
                <c:pt idx="58">
                  <c:v>10000</c:v>
                </c:pt>
                <c:pt idx="59">
                  <c:v>2500</c:v>
                </c:pt>
                <c:pt idx="60">
                  <c:v>21250</c:v>
                </c:pt>
                <c:pt idx="61">
                  <c:v>7300</c:v>
                </c:pt>
                <c:pt idx="62">
                  <c:v>87000</c:v>
                </c:pt>
                <c:pt idx="63">
                  <c:v>5000</c:v>
                </c:pt>
                <c:pt idx="64">
                  <c:v>2000</c:v>
                </c:pt>
                <c:pt idx="65">
                  <c:v>92150</c:v>
                </c:pt>
                <c:pt idx="66">
                  <c:v>7200</c:v>
                </c:pt>
                <c:pt idx="67">
                  <c:v>32000</c:v>
                </c:pt>
                <c:pt idx="68">
                  <c:v>12500</c:v>
                </c:pt>
                <c:pt idx="69">
                  <c:v>1150</c:v>
                </c:pt>
                <c:pt idx="70">
                  <c:v>64500</c:v>
                </c:pt>
                <c:pt idx="71">
                  <c:v>20500</c:v>
                </c:pt>
                <c:pt idx="72">
                  <c:v>81750</c:v>
                </c:pt>
                <c:pt idx="74">
                  <c:v>500</c:v>
                </c:pt>
                <c:pt idx="75">
                  <c:v>300</c:v>
                </c:pt>
                <c:pt idx="76">
                  <c:v>24500</c:v>
                </c:pt>
                <c:pt idx="77">
                  <c:v>11250</c:v>
                </c:pt>
                <c:pt idx="78">
                  <c:v>2000</c:v>
                </c:pt>
                <c:pt idx="79">
                  <c:v>4000</c:v>
                </c:pt>
                <c:pt idx="80">
                  <c:v>15000</c:v>
                </c:pt>
                <c:pt idx="81">
                  <c:v>86500</c:v>
                </c:pt>
                <c:pt idx="82">
                  <c:v>65000</c:v>
                </c:pt>
                <c:pt idx="83">
                  <c:v>22000</c:v>
                </c:pt>
                <c:pt idx="84">
                  <c:v>18500</c:v>
                </c:pt>
                <c:pt idx="85">
                  <c:v>30000</c:v>
                </c:pt>
                <c:pt idx="86">
                  <c:v>3500</c:v>
                </c:pt>
                <c:pt idx="87">
                  <c:v>3000</c:v>
                </c:pt>
                <c:pt idx="88">
                  <c:v>30500</c:v>
                </c:pt>
                <c:pt idx="89">
                  <c:v>25000</c:v>
                </c:pt>
                <c:pt idx="90">
                  <c:v>27000</c:v>
                </c:pt>
                <c:pt idx="91">
                  <c:v>4650</c:v>
                </c:pt>
                <c:pt idx="92">
                  <c:v>45950</c:v>
                </c:pt>
                <c:pt idx="93">
                  <c:v>1000</c:v>
                </c:pt>
                <c:pt idx="94">
                  <c:v>600</c:v>
                </c:pt>
                <c:pt idx="95">
                  <c:v>6750</c:v>
                </c:pt>
                <c:pt idx="96">
                  <c:v>16500</c:v>
                </c:pt>
                <c:pt idx="97">
                  <c:v>4900</c:v>
                </c:pt>
                <c:pt idx="98">
                  <c:v>30000</c:v>
                </c:pt>
                <c:pt idx="99">
                  <c:v>8250</c:v>
                </c:pt>
                <c:pt idx="100">
                  <c:v>4000</c:v>
                </c:pt>
                <c:pt idx="101">
                  <c:v>2300</c:v>
                </c:pt>
                <c:pt idx="102">
                  <c:v>12000</c:v>
                </c:pt>
                <c:pt idx="103">
                  <c:v>14000</c:v>
                </c:pt>
                <c:pt idx="104">
                  <c:v>19000</c:v>
                </c:pt>
                <c:pt idx="105">
                  <c:v>18250</c:v>
                </c:pt>
                <c:pt idx="106">
                  <c:v>2550</c:v>
                </c:pt>
                <c:pt idx="107">
                  <c:v>34750</c:v>
                </c:pt>
                <c:pt idx="108">
                  <c:v>600</c:v>
                </c:pt>
                <c:pt idx="109">
                  <c:v>3000</c:v>
                </c:pt>
                <c:pt idx="110">
                  <c:v>1800</c:v>
                </c:pt>
                <c:pt idx="111">
                  <c:v>4000</c:v>
                </c:pt>
                <c:pt idx="112">
                  <c:v>85000</c:v>
                </c:pt>
                <c:pt idx="113">
                  <c:v>26000</c:v>
                </c:pt>
                <c:pt idx="114">
                  <c:v>21250</c:v>
                </c:pt>
                <c:pt idx="115">
                  <c:v>2400</c:v>
                </c:pt>
                <c:pt idx="116">
                  <c:v>1000</c:v>
                </c:pt>
                <c:pt idx="117">
                  <c:v>400</c:v>
                </c:pt>
                <c:pt idx="118">
                  <c:v>10000</c:v>
                </c:pt>
                <c:pt idx="120">
                  <c:v>7700</c:v>
                </c:pt>
                <c:pt idx="121">
                  <c:v>2000</c:v>
                </c:pt>
                <c:pt idx="122">
                  <c:v>20000</c:v>
                </c:pt>
                <c:pt idx="124">
                  <c:v>550000</c:v>
                </c:pt>
                <c:pt idx="125">
                  <c:v>25000</c:v>
                </c:pt>
                <c:pt idx="126">
                  <c:v>30000</c:v>
                </c:pt>
                <c:pt idx="127">
                  <c:v>1500</c:v>
                </c:pt>
                <c:pt idx="128">
                  <c:v>500</c:v>
                </c:pt>
                <c:pt idx="129">
                  <c:v>2000</c:v>
                </c:pt>
                <c:pt idx="130">
                  <c:v>4000</c:v>
                </c:pt>
                <c:pt idx="131">
                  <c:v>3000</c:v>
                </c:pt>
                <c:pt idx="132">
                  <c:v>3500</c:v>
                </c:pt>
                <c:pt idx="133">
                  <c:v>13500</c:v>
                </c:pt>
                <c:pt idx="134">
                  <c:v>6250</c:v>
                </c:pt>
                <c:pt idx="135">
                  <c:v>17500</c:v>
                </c:pt>
                <c:pt idx="136">
                  <c:v>5000</c:v>
                </c:pt>
                <c:pt idx="137">
                  <c:v>1000</c:v>
                </c:pt>
                <c:pt idx="138">
                  <c:v>12900</c:v>
                </c:pt>
                <c:pt idx="139">
                  <c:v>3000</c:v>
                </c:pt>
                <c:pt idx="140">
                  <c:v>1000</c:v>
                </c:pt>
                <c:pt idx="141">
                  <c:v>2400</c:v>
                </c:pt>
                <c:pt idx="142">
                  <c:v>60000</c:v>
                </c:pt>
                <c:pt idx="143">
                  <c:v>7500</c:v>
                </c:pt>
                <c:pt idx="144">
                  <c:v>4500</c:v>
                </c:pt>
                <c:pt idx="145">
                  <c:v>90000</c:v>
                </c:pt>
                <c:pt idx="146">
                  <c:v>6000</c:v>
                </c:pt>
                <c:pt idx="148">
                  <c:v>800</c:v>
                </c:pt>
                <c:pt idx="149">
                  <c:v>35000</c:v>
                </c:pt>
                <c:pt idx="151">
                  <c:v>40000</c:v>
                </c:pt>
                <c:pt idx="152">
                  <c:v>2500</c:v>
                </c:pt>
                <c:pt idx="153">
                  <c:v>10000</c:v>
                </c:pt>
                <c:pt idx="154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FC-4896-B764-6C4F9AF49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6527135"/>
        <c:axId val="1926529055"/>
      </c:barChart>
      <c:catAx>
        <c:axId val="192652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26529055"/>
        <c:crosses val="autoZero"/>
        <c:auto val="1"/>
        <c:lblAlgn val="ctr"/>
        <c:lblOffset val="100"/>
        <c:noMultiLvlLbl val="0"/>
      </c:catAx>
      <c:valAx>
        <c:axId val="192652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26527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[Akalın İş Takip.xlsx]İş Tipi!PivotTable10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'İş Tipi'!$B$1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635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'İş Tipi'!$A$2:$A$7</c:f>
              <c:strCache>
                <c:ptCount val="5"/>
                <c:pt idx="0">
                  <c:v>(boş)</c:v>
                </c:pt>
                <c:pt idx="1">
                  <c:v>İS</c:v>
                </c:pt>
                <c:pt idx="2">
                  <c:v>İ</c:v>
                </c:pt>
                <c:pt idx="3">
                  <c:v>S</c:v>
                </c:pt>
                <c:pt idx="4">
                  <c:v>iS</c:v>
                </c:pt>
              </c:strCache>
            </c:strRef>
          </c:cat>
          <c:val>
            <c:numRef>
              <c:f>'İş Tipi'!$B$2:$B$7</c:f>
              <c:numCache>
                <c:formatCode>General</c:formatCode>
                <c:ptCount val="5"/>
                <c:pt idx="0">
                  <c:v>6000</c:v>
                </c:pt>
                <c:pt idx="1">
                  <c:v>1700450</c:v>
                </c:pt>
                <c:pt idx="2">
                  <c:v>1695640</c:v>
                </c:pt>
                <c:pt idx="3">
                  <c:v>258005</c:v>
                </c:pt>
                <c:pt idx="4">
                  <c:v>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CC-422E-8BD7-E5C3D0302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337663"/>
        <c:axId val="1232852383"/>
      </c:barChart>
      <c:valAx>
        <c:axId val="1232852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29337663"/>
        <c:crosses val="autoZero"/>
        <c:crossBetween val="between"/>
      </c:valAx>
      <c:catAx>
        <c:axId val="12933766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232852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[Akalın İş Takip.xlsx]Aylık İş !PivotTable2</c:name>
    <c:fmtId val="20"/>
  </c:pivotSource>
  <c:chart>
    <c:autoTitleDeleted val="1"/>
    <c:pivotFmts>
      <c:pivotFmt>
        <c:idx val="0"/>
        <c:spPr>
          <a:solidFill>
            <a:schemeClr val="accent1"/>
          </a:solidFill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5.7332272606735617E-2"/>
              <c:y val="-6.53381135909106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7.4728188809334489E-2"/>
              <c:y val="-6.0982239351516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6.677273932643861E-2"/>
              <c:y val="-8.27616105484868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7.4728188809334406E-2"/>
              <c:y val="-9.14733590272749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7.4728188809334406E-2"/>
              <c:y val="-9.14733590272749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6.677273932643861E-2"/>
              <c:y val="-8.27616105484868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7.4728188809334489E-2"/>
              <c:y val="-6.0982239351516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5.7332272606735617E-2"/>
              <c:y val="-6.53381135909106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4.5465714926610147E-2"/>
              <c:y val="-0.152697973807930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2.5461147333345532E-2"/>
              <c:y val="-0.1711970800808398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3.3416485216652331E-2"/>
              <c:y val="-0.2174448457631122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2.806982589608522E-2"/>
              <c:y val="-0.1877871402929239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</c:pivotFmt>
      <c:pivotFmt>
        <c:idx val="16"/>
        <c:spPr>
          <a:solidFill>
            <a:schemeClr val="accent1"/>
          </a:solidFill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</c:pivotFmt>
      <c:pivotFmt>
        <c:idx val="17"/>
        <c:spPr>
          <a:solidFill>
            <a:schemeClr val="accent1"/>
          </a:solidFill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</c:pivotFmt>
      <c:pivotFmt>
        <c:idx val="18"/>
        <c:spPr>
          <a:solidFill>
            <a:schemeClr val="accent1"/>
          </a:solidFill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</c:pivotFmt>
      <c:pivotFmt>
        <c:idx val="19"/>
        <c:spPr>
          <a:solidFill>
            <a:schemeClr val="accent1"/>
          </a:solidFill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</c:pivotFmt>
      <c:pivotFmt>
        <c:idx val="20"/>
        <c:spPr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</c:pivotFmt>
      <c:pivotFmt>
        <c:idx val="21"/>
        <c:spPr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</c:pivotFmt>
      <c:pivotFmt>
        <c:idx val="22"/>
        <c:spPr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</c:pivotFmt>
      <c:pivotFmt>
        <c:idx val="23"/>
        <c:spPr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</c:pivotFmt>
      <c:pivotFmt>
        <c:idx val="24"/>
        <c:spPr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</c:pivotFmt>
      <c:pivotFmt>
        <c:idx val="25"/>
        <c:spPr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</c:pivotFmt>
      <c:pivotFmt>
        <c:idx val="26"/>
        <c:spPr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</c:pivotFmt>
      <c:pivotFmt>
        <c:idx val="27"/>
        <c:spPr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</c:pivotFmt>
      <c:pivotFmt>
        <c:idx val="28"/>
        <c:spPr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</c:pivotFmt>
      <c:pivotFmt>
        <c:idx val="29"/>
        <c:spPr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</c:pivotFmt>
      <c:pivotFmt>
        <c:idx val="30"/>
        <c:spPr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</c:pivotFmt>
      <c:pivotFmt>
        <c:idx val="31"/>
        <c:spPr>
          <a:ln w="19050" cap="rnd" cmpd="sng" algn="ctr">
            <a:solidFill>
              <a:schemeClr val="tx1"/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'Aylık İş '!$B$1</c:f>
              <c:strCache>
                <c:ptCount val="1"/>
                <c:pt idx="0">
                  <c:v>Toplam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Pt>
            <c:idx val="0"/>
            <c:marker>
              <c:symbol val="circle"/>
              <c:size val="17"/>
              <c:spPr>
                <a:solidFill>
                  <a:schemeClr val="lt1"/>
                </a:solidFill>
                <a:ln>
                  <a:noFill/>
                </a:ln>
                <a:effectLst/>
              </c:spPr>
            </c:marker>
            <c:bubble3D val="0"/>
            <c:spPr>
              <a:ln w="19050" cap="rnd" cmpd="sng" algn="ctr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926E-48CF-AF65-9158F5FD66C2}"/>
              </c:ext>
            </c:extLst>
          </c:dPt>
          <c:dPt>
            <c:idx val="1"/>
            <c:marker>
              <c:symbol val="circle"/>
              <c:size val="17"/>
              <c:spPr>
                <a:solidFill>
                  <a:schemeClr val="lt1"/>
                </a:solidFill>
                <a:ln>
                  <a:noFill/>
                </a:ln>
                <a:effectLst/>
              </c:spPr>
            </c:marker>
            <c:bubble3D val="0"/>
            <c:spPr>
              <a:ln w="19050" cap="rnd" cmpd="sng" algn="ctr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26E-48CF-AF65-9158F5FD66C2}"/>
              </c:ext>
            </c:extLst>
          </c:dPt>
          <c:dPt>
            <c:idx val="2"/>
            <c:marker>
              <c:symbol val="circle"/>
              <c:size val="17"/>
              <c:spPr>
                <a:solidFill>
                  <a:schemeClr val="lt1"/>
                </a:solidFill>
                <a:ln>
                  <a:noFill/>
                </a:ln>
                <a:effectLst/>
              </c:spPr>
            </c:marker>
            <c:bubble3D val="0"/>
            <c:spPr>
              <a:ln w="19050" cap="rnd" cmpd="sng" algn="ctr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926E-48CF-AF65-9158F5FD66C2}"/>
              </c:ext>
            </c:extLst>
          </c:dPt>
          <c:dPt>
            <c:idx val="3"/>
            <c:marker>
              <c:symbol val="circle"/>
              <c:size val="17"/>
              <c:spPr>
                <a:solidFill>
                  <a:schemeClr val="lt1"/>
                </a:solidFill>
                <a:ln>
                  <a:noFill/>
                </a:ln>
                <a:effectLst/>
              </c:spPr>
            </c:marker>
            <c:bubble3D val="0"/>
            <c:spPr>
              <a:ln w="19050" cap="rnd" cmpd="sng" algn="ctr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26E-48CF-AF65-9158F5FD66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'Aylık İş '!$A$2:$A$14</c:f>
              <c:strCache>
                <c:ptCount val="12"/>
                <c:pt idx="0">
                  <c:v>&lt;24.04.2024</c:v>
                </c:pt>
                <c:pt idx="1">
                  <c:v>Oca</c:v>
                </c:pt>
                <c:pt idx="2">
                  <c:v>Şub</c:v>
                </c:pt>
                <c:pt idx="3">
                  <c:v>Mar</c:v>
                </c:pt>
                <c:pt idx="4">
                  <c:v>Nis</c:v>
                </c:pt>
                <c:pt idx="5">
                  <c:v>May</c:v>
                </c:pt>
                <c:pt idx="6">
                  <c:v>Tem</c:v>
                </c:pt>
                <c:pt idx="7">
                  <c:v>Ağu</c:v>
                </c:pt>
                <c:pt idx="8">
                  <c:v>Eyl</c:v>
                </c:pt>
                <c:pt idx="9">
                  <c:v>Eki</c:v>
                </c:pt>
                <c:pt idx="10">
                  <c:v>Kas</c:v>
                </c:pt>
                <c:pt idx="11">
                  <c:v>Ara</c:v>
                </c:pt>
              </c:strCache>
            </c:strRef>
          </c:cat>
          <c:val>
            <c:numRef>
              <c:f>'Aylık İş '!$B$2:$B$14</c:f>
              <c:numCache>
                <c:formatCode>General</c:formatCode>
                <c:ptCount val="12"/>
                <c:pt idx="1">
                  <c:v>496875</c:v>
                </c:pt>
                <c:pt idx="2">
                  <c:v>259620</c:v>
                </c:pt>
                <c:pt idx="3">
                  <c:v>517750</c:v>
                </c:pt>
                <c:pt idx="4">
                  <c:v>192300</c:v>
                </c:pt>
                <c:pt idx="5">
                  <c:v>892650</c:v>
                </c:pt>
                <c:pt idx="6">
                  <c:v>50100</c:v>
                </c:pt>
                <c:pt idx="7">
                  <c:v>281600</c:v>
                </c:pt>
                <c:pt idx="8">
                  <c:v>324550</c:v>
                </c:pt>
                <c:pt idx="9">
                  <c:v>308800</c:v>
                </c:pt>
                <c:pt idx="10">
                  <c:v>7000</c:v>
                </c:pt>
                <c:pt idx="11">
                  <c:v>331250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26E-48CF-AF65-9158F5FD66C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26527615"/>
        <c:axId val="1926529535"/>
      </c:lineChart>
      <c:catAx>
        <c:axId val="1926527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26529535"/>
        <c:crosses val="autoZero"/>
        <c:auto val="1"/>
        <c:lblAlgn val="ctr"/>
        <c:lblOffset val="100"/>
        <c:noMultiLvlLbl val="0"/>
      </c:catAx>
      <c:valAx>
        <c:axId val="19265295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26527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560069</xdr:colOff>
      <xdr:row>11</xdr:row>
      <xdr:rowOff>159067</xdr:rowOff>
    </xdr:from>
    <xdr:to>
      <xdr:col>14</xdr:col>
      <xdr:colOff>466724</xdr:colOff>
      <xdr:row>28</xdr:row>
      <xdr:rowOff>0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3A121125-8591-2DFD-25E7-6E8764B83D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600074</xdr:colOff>
      <xdr:row>1</xdr:row>
      <xdr:rowOff>8572</xdr:rowOff>
    </xdr:from>
    <xdr:to>
      <xdr:col>20</xdr:col>
      <xdr:colOff>609599</xdr:colOff>
      <xdr:row>33</xdr:row>
      <xdr:rowOff>171450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04665527-7F31-B8EE-5FAB-E5737E87ED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588644</xdr:colOff>
      <xdr:row>0</xdr:row>
      <xdr:rowOff>160971</xdr:rowOff>
    </xdr:from>
    <xdr:to>
      <xdr:col>20</xdr:col>
      <xdr:colOff>19049</xdr:colOff>
      <xdr:row>32</xdr:row>
      <xdr:rowOff>180974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8A24B550-56A3-4E1C-8ABD-932A0D930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</xdr:colOff>
      <xdr:row>1</xdr:row>
      <xdr:rowOff>8572</xdr:rowOff>
    </xdr:from>
    <xdr:to>
      <xdr:col>9</xdr:col>
      <xdr:colOff>563880</xdr:colOff>
      <xdr:row>16</xdr:row>
      <xdr:rowOff>35242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8DDCCC5F-CD8D-CF49-7442-0EAA7FB572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561975</xdr:colOff>
      <xdr:row>38</xdr:row>
      <xdr:rowOff>180974</xdr:rowOff>
    </xdr:to>
    <xdr:sp macro="" textlink="">
      <xdr:nvSpPr>
        <xdr:cNvPr id="4" name="Dikdörtgen 3">
          <a:extLst>
            <a:ext uri="{FF2B5EF4-FFF2-40B4-BE49-F238E27FC236}">
              <a16:creationId xmlns:a16="http://schemas.microsoft.com/office/drawing/2014/main" id="{D696990B-C11E-2472-FE62-E2DB80132749}"/>
            </a:ext>
          </a:extLst>
        </xdr:cNvPr>
        <xdr:cNvSpPr/>
      </xdr:nvSpPr>
      <xdr:spPr>
        <a:xfrm>
          <a:off x="0" y="0"/>
          <a:ext cx="2390775" cy="705802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19051</xdr:colOff>
      <xdr:row>3</xdr:row>
      <xdr:rowOff>55248</xdr:rowOff>
    </xdr:from>
    <xdr:to>
      <xdr:col>16</xdr:col>
      <xdr:colOff>228600</xdr:colOff>
      <xdr:row>16</xdr:row>
      <xdr:rowOff>0</xdr:rowOff>
    </xdr:to>
    <xdr:sp macro="" textlink="">
      <xdr:nvSpPr>
        <xdr:cNvPr id="13" name="Dikdörtgen 12">
          <a:extLst>
            <a:ext uri="{FF2B5EF4-FFF2-40B4-BE49-F238E27FC236}">
              <a16:creationId xmlns:a16="http://schemas.microsoft.com/office/drawing/2014/main" id="{7690FEF9-B7C2-3385-FB63-7C1F7E3C4BDE}"/>
            </a:ext>
          </a:extLst>
        </xdr:cNvPr>
        <xdr:cNvSpPr/>
      </xdr:nvSpPr>
      <xdr:spPr>
        <a:xfrm>
          <a:off x="2462706" y="607041"/>
          <a:ext cx="7540515" cy="2335856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16</xdr:col>
      <xdr:colOff>281942</xdr:colOff>
      <xdr:row>3</xdr:row>
      <xdr:rowOff>55248</xdr:rowOff>
    </xdr:from>
    <xdr:to>
      <xdr:col>26</xdr:col>
      <xdr:colOff>15242</xdr:colOff>
      <xdr:row>39</xdr:row>
      <xdr:rowOff>0</xdr:rowOff>
    </xdr:to>
    <xdr:sp macro="" textlink="">
      <xdr:nvSpPr>
        <xdr:cNvPr id="12" name="Dikdörtgen: Üst Köşeleri Yuvarlatılmış 11">
          <a:extLst>
            <a:ext uri="{FF2B5EF4-FFF2-40B4-BE49-F238E27FC236}">
              <a16:creationId xmlns:a16="http://schemas.microsoft.com/office/drawing/2014/main" id="{509C77AB-C76D-18BF-A0D4-44A72C7E951E}"/>
            </a:ext>
          </a:extLst>
        </xdr:cNvPr>
        <xdr:cNvSpPr/>
      </xdr:nvSpPr>
      <xdr:spPr>
        <a:xfrm rot="5400000">
          <a:off x="9720266" y="913449"/>
          <a:ext cx="6459852" cy="5829300"/>
        </a:xfrm>
        <a:prstGeom prst="round2SameRect">
          <a:avLst>
            <a:gd name="adj1" fmla="val 3541"/>
            <a:gd name="adj2" fmla="val 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19051</xdr:colOff>
      <xdr:row>0</xdr:row>
      <xdr:rowOff>1</xdr:rowOff>
    </xdr:from>
    <xdr:to>
      <xdr:col>26</xdr:col>
      <xdr:colOff>19052</xdr:colOff>
      <xdr:row>3</xdr:row>
      <xdr:rowOff>17149</xdr:rowOff>
    </xdr:to>
    <xdr:sp macro="" textlink="">
      <xdr:nvSpPr>
        <xdr:cNvPr id="15" name="Dikdörtgen: Üst Köşeleri Yuvarlatılmış 14">
          <a:extLst>
            <a:ext uri="{FF2B5EF4-FFF2-40B4-BE49-F238E27FC236}">
              <a16:creationId xmlns:a16="http://schemas.microsoft.com/office/drawing/2014/main" id="{3D52DDA9-3695-4377-D1E1-9D9F063C4BB4}"/>
            </a:ext>
          </a:extLst>
        </xdr:cNvPr>
        <xdr:cNvSpPr/>
      </xdr:nvSpPr>
      <xdr:spPr>
        <a:xfrm rot="5400000">
          <a:off x="8883015" y="-6425563"/>
          <a:ext cx="560073" cy="13411201"/>
        </a:xfrm>
        <a:prstGeom prst="round2SameRect">
          <a:avLst>
            <a:gd name="adj1" fmla="val 25113"/>
            <a:gd name="adj2" fmla="val 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15240</xdr:colOff>
      <xdr:row>16</xdr:row>
      <xdr:rowOff>47625</xdr:rowOff>
    </xdr:from>
    <xdr:to>
      <xdr:col>9</xdr:col>
      <xdr:colOff>569595</xdr:colOff>
      <xdr:row>39</xdr:row>
      <xdr:rowOff>13334</xdr:rowOff>
    </xdr:to>
    <xdr:sp macro="" textlink="">
      <xdr:nvSpPr>
        <xdr:cNvPr id="17" name="Dikdörtgen: Tek Köşesi Yuvarlatılmış 16">
          <a:extLst>
            <a:ext uri="{FF2B5EF4-FFF2-40B4-BE49-F238E27FC236}">
              <a16:creationId xmlns:a16="http://schemas.microsoft.com/office/drawing/2014/main" id="{BDBE30FC-AEF5-ABC3-C6EC-94D6E1FEECB0}"/>
            </a:ext>
          </a:extLst>
        </xdr:cNvPr>
        <xdr:cNvSpPr/>
      </xdr:nvSpPr>
      <xdr:spPr>
        <a:xfrm>
          <a:off x="2453640" y="2943225"/>
          <a:ext cx="3602355" cy="4128134"/>
        </a:xfrm>
        <a:prstGeom prst="round1Rect">
          <a:avLst>
            <a:gd name="adj" fmla="val 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10</xdr:col>
      <xdr:colOff>38100</xdr:colOff>
      <xdr:row>16</xdr:row>
      <xdr:rowOff>47624</xdr:rowOff>
    </xdr:from>
    <xdr:to>
      <xdr:col>16</xdr:col>
      <xdr:colOff>228600</xdr:colOff>
      <xdr:row>38</xdr:row>
      <xdr:rowOff>163829</xdr:rowOff>
    </xdr:to>
    <xdr:sp macro="" textlink="">
      <xdr:nvSpPr>
        <xdr:cNvPr id="18" name="Dikdörtgen 17">
          <a:extLst>
            <a:ext uri="{FF2B5EF4-FFF2-40B4-BE49-F238E27FC236}">
              <a16:creationId xmlns:a16="http://schemas.microsoft.com/office/drawing/2014/main" id="{B9395A46-D167-C2B8-7232-DDE64CE9765C}"/>
            </a:ext>
          </a:extLst>
        </xdr:cNvPr>
        <xdr:cNvSpPr/>
      </xdr:nvSpPr>
      <xdr:spPr>
        <a:xfrm>
          <a:off x="6134100" y="2943224"/>
          <a:ext cx="3848100" cy="409765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9</xdr:col>
      <xdr:colOff>253365</xdr:colOff>
      <xdr:row>0</xdr:row>
      <xdr:rowOff>127637</xdr:rowOff>
    </xdr:from>
    <xdr:to>
      <xdr:col>21</xdr:col>
      <xdr:colOff>100965</xdr:colOff>
      <xdr:row>2</xdr:row>
      <xdr:rowOff>70487</xdr:rowOff>
    </xdr:to>
    <xdr:sp macro="" textlink="">
      <xdr:nvSpPr>
        <xdr:cNvPr id="19" name="Metin kutusu 18">
          <a:extLst>
            <a:ext uri="{FF2B5EF4-FFF2-40B4-BE49-F238E27FC236}">
              <a16:creationId xmlns:a16="http://schemas.microsoft.com/office/drawing/2014/main" id="{12FB38BA-567B-C482-A619-26BA6452BBFE}"/>
            </a:ext>
          </a:extLst>
        </xdr:cNvPr>
        <xdr:cNvSpPr txBox="1"/>
      </xdr:nvSpPr>
      <xdr:spPr>
        <a:xfrm>
          <a:off x="5739765" y="127637"/>
          <a:ext cx="716280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800" b="1">
              <a:latin typeface="Bell MT" panose="02020503060305020303" pitchFamily="18" charset="0"/>
            </a:rPr>
            <a:t>AKALIN</a:t>
          </a:r>
          <a:r>
            <a:rPr lang="tr-TR" sz="1800" b="1" baseline="0">
              <a:latin typeface="Bell MT" panose="02020503060305020303" pitchFamily="18" charset="0"/>
            </a:rPr>
            <a:t> iŞ TAKİP PANELİ</a:t>
          </a:r>
          <a:endParaRPr lang="tr-TR" sz="1800" b="1">
            <a:latin typeface="Bell MT" panose="02020503060305020303" pitchFamily="18" charset="0"/>
          </a:endParaRPr>
        </a:p>
      </xdr:txBody>
    </xdr:sp>
    <xdr:clientData/>
  </xdr:twoCellAnchor>
  <xdr:twoCellAnchor>
    <xdr:from>
      <xdr:col>4</xdr:col>
      <xdr:colOff>95248</xdr:colOff>
      <xdr:row>3</xdr:row>
      <xdr:rowOff>131445</xdr:rowOff>
    </xdr:from>
    <xdr:to>
      <xdr:col>7</xdr:col>
      <xdr:colOff>361949</xdr:colOff>
      <xdr:row>5</xdr:row>
      <xdr:rowOff>11430</xdr:rowOff>
    </xdr:to>
    <xdr:sp macro="" textlink="">
      <xdr:nvSpPr>
        <xdr:cNvPr id="20" name="Dikdörtgen: Köşeleri Yuvarlatılmış 19">
          <a:extLst>
            <a:ext uri="{FF2B5EF4-FFF2-40B4-BE49-F238E27FC236}">
              <a16:creationId xmlns:a16="http://schemas.microsoft.com/office/drawing/2014/main" id="{739F029B-DC0A-4E2E-84AF-ED26E165C04C}"/>
            </a:ext>
          </a:extLst>
        </xdr:cNvPr>
        <xdr:cNvSpPr/>
      </xdr:nvSpPr>
      <xdr:spPr>
        <a:xfrm>
          <a:off x="2533648" y="674370"/>
          <a:ext cx="2095501" cy="241935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chemeClr val="accent1">
                <a:shade val="30000"/>
                <a:satMod val="115000"/>
              </a:schemeClr>
            </a:gs>
            <a:gs pos="50000">
              <a:schemeClr val="accent1">
                <a:shade val="67500"/>
                <a:satMod val="115000"/>
              </a:schemeClr>
            </a:gs>
            <a:gs pos="100000">
              <a:schemeClr val="accent1">
                <a:shade val="100000"/>
                <a:satMod val="115000"/>
              </a:schemeClr>
            </a:gs>
          </a:gsLst>
          <a:lin ang="0" scaled="1"/>
          <a:tileRect/>
        </a:gra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 b="1">
              <a:solidFill>
                <a:sysClr val="windowText" lastClr="000000"/>
              </a:solidFill>
              <a:latin typeface="Bell MT" panose="02020503060305020303" pitchFamily="18" charset="0"/>
            </a:rPr>
            <a:t>AYLIK</a:t>
          </a:r>
          <a:r>
            <a:rPr lang="tr-TR" sz="1100" b="1" baseline="0">
              <a:solidFill>
                <a:sysClr val="windowText" lastClr="000000"/>
              </a:solidFill>
              <a:latin typeface="Bell MT" panose="02020503060305020303" pitchFamily="18" charset="0"/>
            </a:rPr>
            <a:t> İŞ TUTARI</a:t>
          </a:r>
          <a:endParaRPr lang="tr-TR" sz="1100" b="1">
            <a:solidFill>
              <a:sysClr val="windowText" lastClr="000000"/>
            </a:solidFill>
            <a:latin typeface="Bell MT" panose="02020503060305020303" pitchFamily="18" charset="0"/>
          </a:endParaRPr>
        </a:p>
      </xdr:txBody>
    </xdr:sp>
    <xdr:clientData/>
  </xdr:twoCellAnchor>
  <xdr:twoCellAnchor>
    <xdr:from>
      <xdr:col>4</xdr:col>
      <xdr:colOff>76200</xdr:colOff>
      <xdr:row>5</xdr:row>
      <xdr:rowOff>76199</xdr:rowOff>
    </xdr:from>
    <xdr:to>
      <xdr:col>16</xdr:col>
      <xdr:colOff>139065</xdr:colOff>
      <xdr:row>15</xdr:row>
      <xdr:rowOff>133350</xdr:rowOff>
    </xdr:to>
    <xdr:graphicFrame macro="">
      <xdr:nvGraphicFramePr>
        <xdr:cNvPr id="22" name="Grafik 21">
          <a:extLst>
            <a:ext uri="{FF2B5EF4-FFF2-40B4-BE49-F238E27FC236}">
              <a16:creationId xmlns:a16="http://schemas.microsoft.com/office/drawing/2014/main" id="{7FA8E5C9-ED99-47F5-A082-4793DF907D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193785</xdr:colOff>
      <xdr:row>3</xdr:row>
      <xdr:rowOff>92482</xdr:rowOff>
    </xdr:from>
    <xdr:to>
      <xdr:col>4</xdr:col>
      <xdr:colOff>488009</xdr:colOff>
      <xdr:row>5</xdr:row>
      <xdr:rowOff>19640</xdr:rowOff>
    </xdr:to>
    <xdr:pic>
      <xdr:nvPicPr>
        <xdr:cNvPr id="26" name="Grafik 25" descr="Hız Göstergesi Orta ana hat">
          <a:extLst>
            <a:ext uri="{FF2B5EF4-FFF2-40B4-BE49-F238E27FC236}">
              <a16:creationId xmlns:a16="http://schemas.microsoft.com/office/drawing/2014/main" id="{1E5D10E1-913D-114E-BCE7-5F46B8A99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637440" y="644275"/>
          <a:ext cx="294224" cy="29502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Kadir Akalın" refreshedDate="45968.126190162038" createdVersion="8" refreshedVersion="8" minRefreshableVersion="3" recordCount="480" xr:uid="{76ADC19E-2FFE-4EDD-BC9E-EAB50037E5A4}">
  <cacheSource type="worksheet">
    <worksheetSource name="Akalin_Cari"/>
  </cacheSource>
  <cacheFields count="12">
    <cacheField name="Müşteri" numFmtId="0">
      <sharedItems containsBlank="1" count="202">
        <s v="Elik Yapı"/>
        <s v="Hikmet Polat"/>
        <s v="Vedat Akar"/>
        <s v="Orhan Aktaş"/>
        <s v="Ali Arslan"/>
        <s v="Pekcanlar"/>
        <s v="Celalettin Çelik"/>
        <s v="Semih"/>
        <s v="ANK"/>
        <s v="Erkan Koşulular"/>
        <s v="Muşlu Reşit"/>
        <s v="Halit Karabey(Arap)"/>
        <s v="Ömer Çenis"/>
        <s v="Hamza"/>
        <s v="Sezer Keskin"/>
        <s v="Damperci Mustafa"/>
        <s v="Sezer Arslan"/>
        <s v="Hüseyin Eş"/>
        <s v="Hasan Akar"/>
        <s v="Yılmaz"/>
        <s v="Sedat Akar"/>
        <s v="Mustafa Kurban"/>
        <s v="Saffet Aras"/>
        <s v="Erkan Sağlam"/>
        <s v="Abdulselam Aydın"/>
        <s v="Emin Bingöl"/>
        <s v="Osman Güneş"/>
        <s v="Nurullah Karakaya"/>
        <s v="İsmail Yıldız"/>
        <s v="Mevlüt Usta"/>
        <s v="Şükrü Çaldır"/>
        <s v="Emin Yağcı"/>
        <s v="Ahmet(Aydın Gönderdi)"/>
        <s v="Han Grup"/>
        <s v="Zülküf Han"/>
        <s v="Murtaza Toprak"/>
        <s v="Rafet Bozkurt "/>
        <s v="Erkan Sağlam "/>
        <s v="Oğuzhan Demir"/>
        <s v="Emin Sevim"/>
        <s v="Mesut Bayrak"/>
        <s v="Mahmut Çakmak"/>
        <s v="Tayraş Yağ"/>
        <s v="Hurdacı Cemil"/>
        <s v="Anıt Asfalt"/>
        <s v="Hamdullah Kantaş"/>
        <s v="Fatih Aktaş"/>
        <m/>
        <s v="Mehmet Sönmez"/>
        <s v=" Şehmus Bilim"/>
        <s v="Metin Atıcılar"/>
        <s v="Naim Tetik"/>
        <s v="Belediye Taşören Firma"/>
        <s v="Aydın"/>
        <s v="Ergün İlhan"/>
        <s v="Şehmus Bilim"/>
        <s v="İdris Sucu"/>
        <s v="Yılmaz Sarı"/>
        <s v="Onur Toprak"/>
        <s v="Vedat Kutlu"/>
        <s v="Mehmet Dağdane"/>
        <s v="Yunus Yıldız"/>
        <s v="Furkan Çakmak"/>
        <s v="Er Yapı"/>
        <s v="Adnanoğulları"/>
        <s v="Hasan Kurt"/>
        <s v="Sezer Karakaya"/>
        <s v="Hüseyin Zengin"/>
        <s v="Hasan(Berat Çakmak)"/>
        <s v="Kenan Kılıç"/>
        <s v="Muşlu Sedat"/>
        <s v="Şeref Çelik"/>
        <s v="Fırat Ermiş"/>
        <s v="Kurt Ticaret"/>
        <s v="Nusrettin Akınel"/>
        <s v="Nurullah Aktaş"/>
        <s v="Hayrullah Aktaş"/>
        <s v="Sintek İnşaat"/>
        <s v="Kadir Abi"/>
        <s v="Ankaralı Dayı"/>
        <s v="Kenan Çelik "/>
        <s v="Kazım Elgaylı"/>
        <s v="Hikmet Demir"/>
        <s v="Ömer Muşlu"/>
        <s v="Semih(2526)"/>
        <s v="Bulut İnşaat"/>
        <s v="Fatih Aktaş'ın Dayısı"/>
        <s v="Anıt Dursun"/>
        <s v="İrfan Usta Tanıdık"/>
        <s v="Sedat Avcıoğlu_x000a_(Eskişehirli)"/>
        <s v="Zakir"/>
        <s v="Selim Can"/>
        <s v="Vanlı Mehmet Amca "/>
        <s v="Mehmet Ali(Laz)"/>
        <s v="Şirin Karakaya"/>
        <s v="Berat Çakmak"/>
        <s v="Hüseyin  Zengin"/>
        <s v="İsrafil Erdal"/>
        <s v="Nurullah Sönmez"/>
        <s v="Ekrem Çenis"/>
        <s v="Erdem Uyanık"/>
        <s v="Hüseyin Eş "/>
        <s v="Nurullah Kır"/>
        <s v="Zekeriya Amca"/>
        <s v="Mehmet Ali"/>
        <s v="Bekçi Vinç(Sintek)"/>
        <s v="Cumali Halitoğlu "/>
        <s v="Ünal Ardil"/>
        <s v="Sıraç Kaya "/>
        <s v="Murat Aktaş"/>
        <s v="Hayrettin Kantaş"/>
        <s v="Tahsin Bulut"/>
        <s v="Ömer Karalı"/>
        <s v="Muhammet Muşlu"/>
        <s v="Sait Muşlu"/>
        <s v="Ömer Toprak"/>
        <s v="Kasım Satır "/>
        <s v="Enes Muşlu"/>
        <s v="Üç Şahinler"/>
        <s v="İdris Muşlu "/>
        <s v="Yağcı"/>
        <s v="Yakup Çiftçi"/>
        <s v="MEBESA"/>
        <s v="Nezih"/>
        <s v="Nezih "/>
        <s v="Çataltepeli Serdar"/>
        <s v="Hayati"/>
        <s v="Hüseyin Akyün"/>
        <s v="Müşteri"/>
        <s v="Nezih Polat"/>
        <s v="Özşimşekler"/>
        <s v="Sinan Kaya"/>
        <s v="Özer Abi(Sarı Axor)"/>
        <s v="Yenişehirli Abi"/>
        <s v="Bilal Ardil"/>
        <s v="Emrah Babacan"/>
        <s v="Mehmet Topuz"/>
        <s v="Fuat Karakaya"/>
        <s v="Ekin Ardil"/>
        <s v="Hamza Karakaya"/>
        <s v="Hayrullah Konçak"/>
        <s v="Nihat Kantar"/>
        <s v="Çatıcı Levent"/>
        <s v="Nurullah Köse"/>
        <s v="Ante İnşaat"/>
        <s v="İnegöllü Abi "/>
        <s v="Ömer Çenis "/>
        <s v="Muşlu Ömer "/>
        <s v="Yalçın Ağgül"/>
        <s v="Metin Yıldız"/>
        <s v="Kirli Hüseyin"/>
        <s v="Muhammet Uygur"/>
        <s v="Ünal Ardil "/>
        <s v="Mert Asfalt "/>
        <s v="Yakup Ardil "/>
        <s v="İdrİSSucu" u="1"/>
        <s v="Hamdullah Aktaş" u="1"/>
        <s v="Arap" u="1"/>
        <s v="Kenan" u="1"/>
        <s v="Han Grup " u="1"/>
        <s v="Muşlu Emin" u="1"/>
        <s v="PolİSZülküf" u="1"/>
        <s v="Adnanoğlulları" u="1"/>
        <s v="Şeref Çelik " u="1"/>
        <s v="Polis Zülküf" u="1"/>
        <s v="3228 Axor" u="1"/>
        <s v="3229 Axor" u="1"/>
        <s v="2532 Cargo" u="1"/>
        <s v="MB800 " u="1"/>
        <s v="624 Pro" u="1"/>
        <s v="2530 Cargo" u="1"/>
        <s v="3229 Axor " u="1"/>
        <s v="3240 Axor" u="1"/>
        <s v="1838 Cargo" u="1"/>
        <s v="3230 Cargo" u="1"/>
        <s v="620 Pro" u="1"/>
        <s v="1840 Axor" u="1"/>
        <s v="Isuzu Dmax" u="1"/>
        <s v="3232 Cargo" u="1"/>
        <s v="522 Pro" u="1"/>
        <s v="1836 Axor" u="1"/>
        <s v="950 Dodge" u="1"/>
        <s v="3228 Axor " u="1"/>
        <s v="827 Pro" u="1"/>
        <s v="Hino" u="1"/>
        <s v="2524 Cargo" u="1"/>
        <s v="2520 Cargo" u="1"/>
        <s v="Küçük Hino" u="1"/>
        <s v="1830 Cargo" u="1"/>
        <s v="2640 Axor" u="1"/>
        <s v="Ford Transit" u="1"/>
        <s v="935 Pro" u="1"/>
        <s v="1838 Cargo " u="1"/>
        <s v="3236 Cargo" u="1"/>
        <s v="2521 Mercedes" u="1"/>
        <s v="1838 Axor" u="1"/>
        <s v="Super 900" u="1"/>
        <s v="3228 Cargo" u="1"/>
        <s v="3340 Axor" u="1"/>
        <s v="3029 Mercedes" u="1"/>
        <s v="3232 Cargo " u="1"/>
        <s v="832 Pro" u="1"/>
      </sharedItems>
    </cacheField>
    <cacheField name="Marka/Model" numFmtId="0">
      <sharedItems containsBlank="1" containsMixedTypes="1" containsNumber="1" containsInteger="1" minValue="950" maxValue="3228"/>
    </cacheField>
    <cacheField name="Plaka" numFmtId="0">
      <sharedItems containsBlank="1"/>
    </cacheField>
    <cacheField name="Yapılan İşlem" numFmtId="0">
      <sharedItems containsBlank="1" longText="1"/>
    </cacheField>
    <cacheField name="Ücret " numFmtId="0">
      <sharedItems containsString="0" containsBlank="1" containsNumber="1" containsInteger="1" minValue="0" maxValue="550000"/>
    </cacheField>
    <cacheField name="Alınan" numFmtId="0">
      <sharedItems containsString="0" containsBlank="1" containsNumber="1" containsInteger="1" minValue="0" maxValue="200000"/>
    </cacheField>
    <cacheField name=" Kalan" numFmtId="0">
      <sharedItems containsString="0" containsBlank="1" containsNumber="1" containsInteger="1" minValue="0" maxValue="350000"/>
    </cacheField>
    <cacheField name="Tarih" numFmtId="0">
      <sharedItems containsNonDate="0" containsDate="1" containsString="0" containsBlank="1" minDate="2024-04-24T00:00:00" maxDate="2025-11-04T00:00:00" count="231"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6T00:00:00"/>
        <d v="2025-01-07T00:00:00"/>
        <d v="2025-01-08T00:00:00"/>
        <d v="2025-01-09T00:00:00"/>
        <d v="2025-01-10T00:00:00"/>
        <d v="2025-01-11T00:00:00"/>
        <d v="2025-01-13T00:00:00"/>
        <d v="2025-01-14T00:00:00"/>
        <d v="2025-01-15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4T00:00:00"/>
        <d v="2025-02-25T00:00:00"/>
        <d v="2025-02-26T00:00:00"/>
        <d v="2025-02-27T00:00:00"/>
        <d v="2025-02-28T00:00:00"/>
        <d v="2025-03-01T00:00:00"/>
        <d v="2025-03-03T00:00:00"/>
        <d v="2025-03-04T00:00:00"/>
        <d v="2025-03-05T00:00:00"/>
        <d v="2025-03-06T00:00:00"/>
        <d v="2025-03-07T00:00:00"/>
        <d v="2025-03-08T00:00:00"/>
        <d v="2025-03-10T00:00:00"/>
        <d v="2025-03-11T00:00:00"/>
        <d v="2025-03-12T00:00:00"/>
        <d v="2025-03-13T00:00:00"/>
        <d v="2025-03-15T00:00:00"/>
        <d v="2025-03-19T00:00:00"/>
        <d v="2025-03-20T00:00:00"/>
        <d v="2025-03-21T00:00:00"/>
        <d v="2025-03-22T00:00:00"/>
        <d v="2025-03-25T00:00:00"/>
        <d v="2025-03-26T00:00:00"/>
        <d v="2025-03-27T00:00:00"/>
        <d v="2025-03-28T00:00:00"/>
        <d v="2025-03-29T00:00:00"/>
        <d v="2025-04-02T00:00:00"/>
        <d v="2025-04-03T00:00:00"/>
        <d v="2025-04-04T00:00:00"/>
        <d v="2025-04-05T00:00:00"/>
        <d v="2025-04-07T00:00:00"/>
        <d v="2025-04-08T00:00:00"/>
        <d v="2025-04-09T00:00:00"/>
        <d v="2025-04-10T00:00:00"/>
        <d v="2025-04-11T00:00:00"/>
        <d v="2025-04-12T00:00:00"/>
        <d v="2025-04-14T00:00:00"/>
        <d v="2025-04-15T00:00:00"/>
        <d v="2025-04-16T00:00:00"/>
        <d v="2025-04-17T00:00:00"/>
        <d v="2025-04-18T00:00:00"/>
        <d v="2025-04-19T00:00:00"/>
        <d v="2025-04-21T00:00:00"/>
        <d v="2025-04-23T00:00:00"/>
        <d v="2025-04-24T00:00:00"/>
        <d v="2024-04-24T00:00:00"/>
        <d v="2025-04-25T00:00:00"/>
        <d v="2025-04-26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9T00:00:00"/>
        <d v="2025-05-20T00:00:00"/>
        <d v="2025-05-21T00:00:00"/>
        <d v="2025-05-22T00:00:00"/>
        <d v="2025-05-23T00:00:00"/>
        <d v="2025-05-26T00:00:00"/>
        <d v="2025-07-25T00:00:00"/>
        <d v="2025-07-26T00:00:00"/>
        <d v="2025-07-28T00:00:00"/>
        <d v="2025-07-29T00:00:00"/>
        <d v="2025-07-30T00:00:00"/>
        <d v="2025-07-31T00:00:00"/>
        <d v="2025-08-01T00:00:00"/>
        <d v="2025-08-02T00:00:00"/>
        <d v="2025-08-04T00:00:00"/>
        <d v="2025-08-05T00:00:00"/>
        <d v="2025-08-06T00:00:00"/>
        <d v="2025-08-07T00:00:00"/>
        <d v="2025-08-08T00:00:00"/>
        <d v="2025-08-09T00:00:00"/>
        <d v="2025-08-11T00:00:00"/>
        <d v="2025-08-12T00:00:00"/>
        <d v="2025-08-13T00:00:00"/>
        <d v="2025-08-14T00:00:00"/>
        <d v="2025-08-15T00:00:00"/>
        <d v="2025-08-16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9-02T00:00:00"/>
        <d v="2025-09-03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5T00:00:00"/>
        <d v="2025-09-16T00:00:00"/>
        <d v="2025-09-17T00:00:00"/>
        <d v="2025-09-18T00:00:00"/>
        <d v="2025-09-19T00:00:00"/>
        <d v="2025-09-20T00:00:00"/>
        <d v="2025-09-22T00:00:00"/>
        <d v="2025-09-23T00:00:00"/>
        <d v="2025-09-24T00:00:00"/>
        <d v="2025-09-25T00:00:00"/>
        <d v="2025-09-27T00:00:00"/>
        <d v="2025-09-29T00:00:00"/>
        <d v="2025-10-01T00:00:00"/>
        <d v="2025-10-02T00:00:00"/>
        <m/>
        <d v="2025-10-03T00:00:00"/>
        <d v="2025-10-04T00:00:00"/>
        <d v="2025-10-06T00:00:00"/>
        <d v="2025-10-07T00:00:00"/>
        <d v="2025-10-08T00:00:00"/>
        <d v="2025-10-13T00:00:00"/>
        <d v="2025-10-14T00:00:00"/>
        <d v="2025-10-15T00:00:00"/>
        <d v="2025-10-16T00:00:00"/>
        <d v="2025-10-17T00:00:00"/>
        <d v="2025-10-18T00:00:00"/>
        <d v="2025-10-20T00:00:00"/>
        <d v="2025-10-21T00:00:00"/>
        <d v="2025-10-22T00:00:00"/>
        <d v="2025-10-24T00:00:00"/>
        <d v="2025-10-25T00:00:00"/>
        <d v="2025-10-27T00:00:00"/>
        <d v="2025-10-28T00:00:00"/>
        <d v="2025-10-29T00:00:00"/>
        <d v="2025-10-30T00:00:00"/>
        <d v="2025-10-31T00:00:00"/>
        <d v="2025-11-01T00:00:00"/>
        <d v="2025-11-03T00:00:00"/>
      </sharedItems>
      <fieldGroup par="11"/>
    </cacheField>
    <cacheField name="İş Tipi" numFmtId="0">
      <sharedItems containsBlank="1" count="11">
        <s v="İS"/>
        <s v="İ"/>
        <s v="S"/>
        <m/>
        <s v="iS"/>
        <s v="İS " u="1"/>
        <s v="İşçilik ve satış" u="1"/>
        <s v="İşçilik " u="1"/>
        <s v="Satış" u="1"/>
        <s v="İşçilik" u="1"/>
        <s v="İşçilik ve satış " u="1"/>
      </sharedItems>
    </cacheField>
    <cacheField name="Ay (Tarih)" numFmtId="0" databaseField="0">
      <fieldGroup base="7">
        <rangePr groupBy="months" startDate="2024-04-24T00:00:00" endDate="2025-11-04T00:00:00"/>
        <groupItems count="14">
          <s v="&lt;24.04.2024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4.11.2025"/>
        </groupItems>
      </fieldGroup>
    </cacheField>
    <cacheField name="Üç aylık dönem (Tarih)" numFmtId="0" databaseField="0">
      <fieldGroup base="7">
        <rangePr groupBy="quarters" startDate="2024-04-24T00:00:00" endDate="2025-11-04T00:00:00"/>
        <groupItems count="6">
          <s v="&lt;24.04.2024"/>
          <s v="Çey1"/>
          <s v="Çey2"/>
          <s v="Çey3"/>
          <s v="Çey4"/>
          <s v="&gt;4.11.2025"/>
        </groupItems>
      </fieldGroup>
    </cacheField>
    <cacheField name="Yıl (Tarih)" numFmtId="0" databaseField="0">
      <fieldGroup base="7">
        <rangePr groupBy="years" startDate="2024-04-24T00:00:00" endDate="2025-11-04T00:00:00"/>
        <groupItems count="4">
          <s v="&lt;24.04.2024"/>
          <s v="2024"/>
          <s v="2025"/>
          <s v="&gt;4.11.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0">
  <r>
    <x v="0"/>
    <s v="3230 Cargo"/>
    <m/>
    <m/>
    <n v="62400"/>
    <n v="62400"/>
    <n v="0"/>
    <x v="0"/>
    <x v="0"/>
  </r>
  <r>
    <x v="1"/>
    <s v="3230 Cargo"/>
    <m/>
    <s v="Şanzıman işçiliği yapıldı._x000a_Yağ değişimi yapıldı."/>
    <n v="17500"/>
    <n v="17500"/>
    <n v="0"/>
    <x v="1"/>
    <x v="0"/>
  </r>
  <r>
    <x v="1"/>
    <s v="3230 Cargo"/>
    <m/>
    <s v="Dolu istavroz kutusu takıldı._x000a_Diferansiyel işçiliği yapıldı.(Yol)"/>
    <n v="55000"/>
    <n v="55000"/>
    <n v="0"/>
    <x v="2"/>
    <x v="1"/>
  </r>
  <r>
    <x v="2"/>
    <s v="1838 Cargo"/>
    <m/>
    <s v="Motor işçiliği yapıldı."/>
    <n v="27000"/>
    <n v="27000"/>
    <n v="0"/>
    <x v="3"/>
    <x v="1"/>
  </r>
  <r>
    <x v="3"/>
    <s v="1840 Axor"/>
    <m/>
    <s v="Diferansiyel işçiliği yapıldı."/>
    <n v="15000"/>
    <n v="15000"/>
    <n v="0"/>
    <x v="4"/>
    <x v="1"/>
  </r>
  <r>
    <x v="4"/>
    <s v="3228 Axor"/>
    <m/>
    <s v="Çeşitli işler."/>
    <n v="15000"/>
    <n v="15000"/>
    <n v="0"/>
    <x v="5"/>
    <x v="1"/>
  </r>
  <r>
    <x v="5"/>
    <s v="3228 Axor"/>
    <m/>
    <s v="Çeşitli işler."/>
    <n v="8000"/>
    <n v="8000"/>
    <n v="0"/>
    <x v="6"/>
    <x v="1"/>
  </r>
  <r>
    <x v="5"/>
    <s v="1840 Axor"/>
    <m/>
    <s v="Yağ değişimi yapıldı._x000a_İmdat kolu değişti."/>
    <n v="2500"/>
    <n v="2500"/>
    <n v="0"/>
    <x v="7"/>
    <x v="1"/>
  </r>
  <r>
    <x v="5"/>
    <s v="3228 Axor"/>
    <s v="16 ANK 666"/>
    <s v="Disk ve balata değişti._x000a_Yağ değişimi yapıldı."/>
    <n v="4500"/>
    <n v="4500"/>
    <n v="0"/>
    <x v="8"/>
    <x v="1"/>
  </r>
  <r>
    <x v="6"/>
    <s v="4140 Axor"/>
    <m/>
    <s v="Yağ değişimi yapıldı._x000a_2 teker balata değişti."/>
    <n v="4500"/>
    <n v="4500"/>
    <n v="0"/>
    <x v="9"/>
    <x v="1"/>
  </r>
  <r>
    <x v="6"/>
    <s v="3228 Axor"/>
    <m/>
    <s v="Yağ değişimi yapıldı._x000a_Şanzıman aktarma pistonu tamiri yapıldı._x000a_Devirdaim ara boru değişimi yapıldı._x000a_Kompresör kapak değişimi yapıldı._x000a_Arka fren ventili değişti."/>
    <n v="5500"/>
    <n v="5500"/>
    <n v="0"/>
    <x v="10"/>
    <x v="1"/>
  </r>
  <r>
    <x v="7"/>
    <s v="1838 Cargo"/>
    <m/>
    <s v="Çeşitli işler."/>
    <n v="10000"/>
    <n v="10000"/>
    <n v="0"/>
    <x v="11"/>
    <x v="1"/>
  </r>
  <r>
    <x v="8"/>
    <s v="3228 Axor"/>
    <m/>
    <s v="Çeşitli işler."/>
    <n v="7500"/>
    <n v="7500"/>
    <n v="0"/>
    <x v="12"/>
    <x v="1"/>
  </r>
  <r>
    <x v="9"/>
    <s v="3229 Axor"/>
    <m/>
    <s v="Araç üstünde motor işçiliği yapıldı."/>
    <n v="10000"/>
    <n v="10000"/>
    <n v="0"/>
    <x v="13"/>
    <x v="2"/>
  </r>
  <r>
    <x v="10"/>
    <s v="3228 Axor"/>
    <m/>
    <s v="Aracına müşteri bulundu."/>
    <n v="3500"/>
    <n v="0"/>
    <n v="3500"/>
    <x v="14"/>
    <x v="1"/>
  </r>
  <r>
    <x v="11"/>
    <s v="2532 Cargo"/>
    <s v="16 CDE 60"/>
    <s v="Çeşitli işler."/>
    <n v="1000"/>
    <n v="1000"/>
    <n v="0"/>
    <x v="15"/>
    <x v="1"/>
  </r>
  <r>
    <x v="12"/>
    <s v="3228 Axor"/>
    <m/>
    <s v="Çeşitli işler."/>
    <n v="7500"/>
    <n v="7500"/>
    <n v="0"/>
    <x v="16"/>
    <x v="1"/>
  </r>
  <r>
    <x v="13"/>
    <s v="MB800 "/>
    <m/>
    <s v="Şanzıman değişimi yapıldı._x000a_Yağ bakımı yapıldı._x000a_Rot başları değişimi yapıldı."/>
    <n v="11000"/>
    <n v="11000"/>
    <n v="0"/>
    <x v="17"/>
    <x v="1"/>
  </r>
  <r>
    <x v="14"/>
    <s v="624 Pro"/>
    <m/>
    <m/>
    <n v="1000"/>
    <n v="1000"/>
    <n v="0"/>
    <x v="18"/>
    <x v="1"/>
  </r>
  <r>
    <x v="15"/>
    <m/>
    <m/>
    <s v="PTO satıldı."/>
    <n v="5000"/>
    <n v="5000"/>
    <n v="0"/>
    <x v="19"/>
    <x v="2"/>
  </r>
  <r>
    <x v="16"/>
    <s v="2530 Cargo"/>
    <m/>
    <s v="Çeşitli işler."/>
    <n v="1000"/>
    <n v="1000"/>
    <n v="0"/>
    <x v="20"/>
    <x v="1"/>
  </r>
  <r>
    <x v="17"/>
    <s v="3229 Axor "/>
    <m/>
    <s v="Çeşitli işler."/>
    <n v="27500"/>
    <n v="27500"/>
    <n v="0"/>
    <x v="21"/>
    <x v="1"/>
  </r>
  <r>
    <x v="4"/>
    <s v="3240 Axor"/>
    <m/>
    <s v="ALB çubuğu takıldı._x000a_Hava kaçakları giderildi._x000a_1 teker sök-tak._x000a_Paspaslar değişti._x000a_Komple fren ayarı yapıldı."/>
    <n v="1500"/>
    <n v="1500"/>
    <n v="0"/>
    <x v="22"/>
    <x v="1"/>
  </r>
  <r>
    <x v="18"/>
    <s v="1838 Cargo"/>
    <s v="16 FBB 08"/>
    <s v="Enjektör tesisatı değişti._x000a_Tazyik sibobu değişti.(Bizden)"/>
    <n v="3000"/>
    <n v="3000"/>
    <n v="0"/>
    <x v="22"/>
    <x v="0"/>
  </r>
  <r>
    <x v="19"/>
    <s v="3230 Cargo"/>
    <m/>
    <s v="Alt merkez tamir takımı değişti._x000a_Hidrolik koyuldu.(Bizden)"/>
    <n v="1150"/>
    <n v="1150"/>
    <n v="0"/>
    <x v="22"/>
    <x v="0"/>
  </r>
  <r>
    <x v="1"/>
    <s v="3230 Cargo"/>
    <m/>
    <s v="Rotbaşları değişti._x000a_Reflektör yapıştırıldı."/>
    <n v="2250"/>
    <n v="2250"/>
    <n v="0"/>
    <x v="22"/>
    <x v="1"/>
  </r>
  <r>
    <x v="20"/>
    <s v="1838 Cargo"/>
    <m/>
    <s v="Yağ bakımı yapıldı."/>
    <n v="1400"/>
    <n v="1400"/>
    <n v="0"/>
    <x v="23"/>
    <x v="1"/>
  </r>
  <r>
    <x v="21"/>
    <s v="620 Pro"/>
    <m/>
    <s v="Gergi makarası ve kayış değişimi yapıldı."/>
    <n v="1000"/>
    <n v="1000"/>
    <n v="0"/>
    <x v="23"/>
    <x v="1"/>
  </r>
  <r>
    <x v="22"/>
    <s v="3230 Cargo"/>
    <s v="16 BHP 153"/>
    <s v="Yağ bakımı yapıldı."/>
    <n v="1200"/>
    <n v="1200"/>
    <n v="0"/>
    <x v="23"/>
    <x v="1"/>
  </r>
  <r>
    <x v="2"/>
    <s v="1840 Axor"/>
    <s v="16 BFJ 874"/>
    <s v="Kabin amortisörü değişti._x000a_Hava kaçakları giderildi."/>
    <n v="1000"/>
    <n v="1000"/>
    <n v="0"/>
    <x v="24"/>
    <x v="1"/>
  </r>
  <r>
    <x v="23"/>
    <s v="3240 Axor"/>
    <m/>
    <s v="Sağ çeker kaliper tamiri yapıldı._x000a_Sağ dingil kaldırma körüğü değişti."/>
    <n v="2500"/>
    <n v="2500"/>
    <n v="0"/>
    <x v="25"/>
    <x v="1"/>
  </r>
  <r>
    <x v="1"/>
    <s v="3228 Axor"/>
    <m/>
    <s v="Ön teker (sağ/sol) diskleri ve balataları değişti._x000a_Çeker tekerler (sağ/sol) tekerler söküldü,balata disk kontrolleri yapıldı._x000a_Sağ çeker körük lastiği değişti._x000a_Dörtlü dağıtıcı değişti._x000a_Şeytan dingil kaldırma bobinindeki hava kaçağı giderildi._x000a_Arka paspaslar değişti._x000a_Reflektörler takıldı."/>
    <n v="7000"/>
    <n v="7000"/>
    <n v="0"/>
    <x v="25"/>
    <x v="1"/>
  </r>
  <r>
    <x v="5"/>
    <s v="3229 Axor"/>
    <s v="16 ARA 971"/>
    <s v="Yağ bakımı yapıldı._x000a_4 ve 5. enjektör borusu değişti."/>
    <n v="1500"/>
    <n v="1500"/>
    <n v="0"/>
    <x v="26"/>
    <x v="1"/>
  </r>
  <r>
    <x v="24"/>
    <s v="1838 Cargo"/>
    <m/>
    <s v="Külbütör kapak contası değişti._x000a_Külbütör filtresi değişti._x000a_Sağ çamurluk sinyal lambası değişti."/>
    <n v="1500"/>
    <n v="1500"/>
    <n v="0"/>
    <x v="26"/>
    <x v="1"/>
  </r>
  <r>
    <x v="5"/>
    <s v="Isuzu Dmax"/>
    <m/>
    <s v="Yağ bakımı yapıldı._x000a_Sol ön teker işçiliği yapıldı."/>
    <n v="2100"/>
    <n v="2100"/>
    <n v="0"/>
    <x v="27"/>
    <x v="1"/>
  </r>
  <r>
    <x v="25"/>
    <s v="3232 Cargo"/>
    <s v="34 GGH 113"/>
    <s v="Hava tahliye ünitesi değişti."/>
    <n v="1000"/>
    <n v="1000"/>
    <n v="0"/>
    <x v="28"/>
    <x v="1"/>
  </r>
  <r>
    <x v="26"/>
    <s v="522 Pro"/>
    <s v="59 ACM 044"/>
    <s v="5 lt 15-40W yağ koyuldu._x000a_Mazot otomatiği temizlendi._x000a_Gaz kolu burcu yenilendi."/>
    <n v="1250"/>
    <n v="1250"/>
    <n v="0"/>
    <x v="29"/>
    <x v="1"/>
  </r>
  <r>
    <x v="2"/>
    <s v="1840 Axor"/>
    <s v="16 BFJ 874"/>
    <s v="Radyatör değişti."/>
    <n v="4000"/>
    <n v="4000"/>
    <n v="0"/>
    <x v="30"/>
    <x v="1"/>
  </r>
  <r>
    <x v="27"/>
    <s v="1836 Axor"/>
    <s v="34 UT 4756"/>
    <s v="Metal su borusu değişti._x000a_Karter yağ hortumu değişti."/>
    <n v="1000"/>
    <n v="1000"/>
    <n v="0"/>
    <x v="30"/>
    <x v="1"/>
  </r>
  <r>
    <x v="28"/>
    <s v="1840 Axor"/>
    <m/>
    <s v="Yağ değişimi yapıldı."/>
    <n v="1500"/>
    <n v="1500"/>
    <n v="0"/>
    <x v="31"/>
    <x v="1"/>
  </r>
  <r>
    <x v="5"/>
    <s v="3228 Axor"/>
    <s v="16 ANK 666"/>
    <s v="Enjektör fişek o-ringleri değişti."/>
    <n v="5000"/>
    <n v="5000"/>
    <n v="0"/>
    <x v="32"/>
    <x v="1"/>
  </r>
  <r>
    <x v="29"/>
    <m/>
    <m/>
    <s v="75 lik ZF şanzıman kilometre halkası(ZF0730 162 694) satıldı."/>
    <n v="400"/>
    <n v="400"/>
    <n v="0"/>
    <x v="32"/>
    <x v="2"/>
  </r>
  <r>
    <x v="30"/>
    <s v="3232 Cargo"/>
    <m/>
    <s v="Kalorifer hortumu değişti."/>
    <n v="150"/>
    <n v="150"/>
    <n v="0"/>
    <x v="33"/>
    <x v="1"/>
  </r>
  <r>
    <x v="25"/>
    <s v="3232 Cargo"/>
    <s v="34 GGH 113"/>
    <s v="Tek freze aks değişti.(Yol)"/>
    <n v="4200"/>
    <n v="4200"/>
    <n v="0"/>
    <x v="33"/>
    <x v="1"/>
  </r>
  <r>
    <x v="31"/>
    <s v="1838 Cargo"/>
    <m/>
    <s v="Diferansiyel değişti.(Yol)"/>
    <n v="79500"/>
    <n v="79500"/>
    <n v="0"/>
    <x v="33"/>
    <x v="0"/>
  </r>
  <r>
    <x v="32"/>
    <s v="950 Dodge"/>
    <m/>
    <s v="Komple şanzıman verildi."/>
    <n v="30000"/>
    <n v="30000"/>
    <n v="0"/>
    <x v="33"/>
    <x v="2"/>
  </r>
  <r>
    <x v="33"/>
    <s v="3228 Axor "/>
    <s v="16 BHK 590"/>
    <s v="Yağ bakımı yapıldı._x000a_Karter yağ koyma hortumu değişti._x000a_Şeytan dingil yatay amortisörleri değişti.(2 Adet)"/>
    <n v="2500"/>
    <n v="2500"/>
    <n v="0"/>
    <x v="34"/>
    <x v="1"/>
  </r>
  <r>
    <x v="18"/>
    <s v="1838 Cargo"/>
    <s v="16 FBB 08"/>
    <s v="Yağ bakımı yapıldı."/>
    <n v="2000"/>
    <n v="2000"/>
    <n v="0"/>
    <x v="34"/>
    <x v="1"/>
  </r>
  <r>
    <x v="34"/>
    <s v="827 Pro"/>
    <m/>
    <s v="Stop pistonu değişti._x000a_Motora 3 lt yağ eklendi."/>
    <n v="300"/>
    <n v="300"/>
    <n v="0"/>
    <x v="34"/>
    <x v="1"/>
  </r>
  <r>
    <x v="35"/>
    <s v="Hino"/>
    <m/>
    <s v="Hava kaçakları giderildi._x000a_Yağ filtresi değişti._x000a_Şaft cıvataları sıkıldı."/>
    <n v="200"/>
    <n v="200"/>
    <n v="0"/>
    <x v="34"/>
    <x v="1"/>
  </r>
  <r>
    <x v="36"/>
    <s v="3230 Cargo"/>
    <m/>
    <s v="Bir adet 10/43 diferansiyel satıldı."/>
    <n v="60000"/>
    <n v="60000"/>
    <n v="0"/>
    <x v="34"/>
    <x v="2"/>
  </r>
  <r>
    <x v="21"/>
    <s v="3228 Axor "/>
    <m/>
    <s v="Yağ bakımı yapıldı._x000a_Egzoz freni değişti."/>
    <n v="1700"/>
    <n v="1700"/>
    <n v="0"/>
    <x v="35"/>
    <x v="1"/>
  </r>
  <r>
    <x v="37"/>
    <s v="3240 Axor"/>
    <m/>
    <s v="Klima ayağı takıldı._x000a_Kayış değişti."/>
    <n v="1000"/>
    <n v="1000"/>
    <n v="0"/>
    <x v="35"/>
    <x v="1"/>
  </r>
  <r>
    <x v="22"/>
    <s v="2524 Cargo"/>
    <s v="16 BHP 153"/>
    <s v="Rot başları değişti. (Sağ-Sol)"/>
    <n v="1500"/>
    <n v="1500"/>
    <n v="0"/>
    <x v="35"/>
    <x v="1"/>
  </r>
  <r>
    <x v="38"/>
    <s v="2530 Cargo"/>
    <s v="16 KJC 95"/>
    <s v="Baskı balata değişimi yapıldı.(Yol)"/>
    <n v="13800"/>
    <n v="13800"/>
    <n v="0"/>
    <x v="36"/>
    <x v="0"/>
  </r>
  <r>
    <x v="39"/>
    <s v="2520 Cargo"/>
    <m/>
    <s v="Yağ değişimi yapıldı."/>
    <n v="800"/>
    <n v="800"/>
    <n v="0"/>
    <x v="36"/>
    <x v="1"/>
  </r>
  <r>
    <x v="23"/>
    <s v="3240 Axor"/>
    <m/>
    <s v="Sağ motor kulağı değişti._x000a_Şazıman arka kapağı değişti._x000a_3.5 lt şanzıman yağı koyuldu."/>
    <n v="4000"/>
    <n v="4000"/>
    <n v="0"/>
    <x v="36"/>
    <x v="0"/>
  </r>
  <r>
    <x v="40"/>
    <s v="827 Pro"/>
    <m/>
    <s v="Sağ şeytan dingil kaldırma körüğü değişti."/>
    <n v="500"/>
    <n v="500"/>
    <n v="0"/>
    <x v="37"/>
    <x v="1"/>
  </r>
  <r>
    <x v="17"/>
    <s v="3228 Axor"/>
    <s v="34 BU 8267"/>
    <s v="Orta askı değişti.(Yol)"/>
    <n v="5000"/>
    <n v="5000"/>
    <n v="0"/>
    <x v="38"/>
    <x v="1"/>
  </r>
  <r>
    <x v="17"/>
    <s v="Küçük Hino"/>
    <s v="16 AUD 852"/>
    <s v="Baskı balata değişti."/>
    <n v="10000"/>
    <n v="10000"/>
    <n v="0"/>
    <x v="38"/>
    <x v="1"/>
  </r>
  <r>
    <x v="27"/>
    <s v="3232 Cargo"/>
    <m/>
    <s v="Yağ bakımı yapıldı."/>
    <n v="1500"/>
    <n v="1500"/>
    <n v="0"/>
    <x v="39"/>
    <x v="1"/>
  </r>
  <r>
    <x v="27"/>
    <s v="1836 Axor"/>
    <m/>
    <s v="Şamandıra süzgeci takıldı."/>
    <n v="300"/>
    <n v="300"/>
    <n v="0"/>
    <x v="39"/>
    <x v="1"/>
  </r>
  <r>
    <x v="33"/>
    <s v="3228 Axor"/>
    <s v="16 APU 121"/>
    <s v="Sol çeker disk ve balatalar değişti._x000a_Yağ bakımı yapıldı."/>
    <n v="4500"/>
    <n v="4500"/>
    <n v="0"/>
    <x v="40"/>
    <x v="1"/>
  </r>
  <r>
    <x v="14"/>
    <s v="624 Pro"/>
    <m/>
    <s v="2 lt şanzıman yağı konuldu."/>
    <n v="300"/>
    <n v="300"/>
    <n v="0"/>
    <x v="41"/>
    <x v="0"/>
  </r>
  <r>
    <x v="41"/>
    <s v="3228 Axor"/>
    <m/>
    <s v="Volan dişlisi değişti._x000a_Dişli bizden takıldı."/>
    <n v="11000"/>
    <n v="11000"/>
    <n v="0"/>
    <x v="42"/>
    <x v="0"/>
  </r>
  <r>
    <x v="5"/>
    <s v="Hino"/>
    <m/>
    <s v="Şaft değişimi yapıldı.(Yol)"/>
    <n v="6000"/>
    <n v="6000"/>
    <n v="0"/>
    <x v="43"/>
    <x v="1"/>
  </r>
  <r>
    <x v="5"/>
    <s v="3229 Axor"/>
    <s v="16 ARA 971"/>
    <s v="Ön sol teker disk değişti._x000a_Ön tekerler balata değişti._x000a_Sol çeker disk değişti._x000a_Çeker tekerler balata değişti."/>
    <n v="8000"/>
    <n v="8000"/>
    <n v="0"/>
    <x v="43"/>
    <x v="1"/>
  </r>
  <r>
    <x v="42"/>
    <m/>
    <m/>
    <s v="6 varil yağ satıldı."/>
    <n v="7200"/>
    <n v="7200"/>
    <n v="0"/>
    <x v="44"/>
    <x v="2"/>
  </r>
  <r>
    <x v="43"/>
    <m/>
    <m/>
    <s v="24 teneke 37 bidon satıldı."/>
    <n v="325"/>
    <n v="325"/>
    <n v="0"/>
    <x v="44"/>
    <x v="2"/>
  </r>
  <r>
    <x v="43"/>
    <m/>
    <m/>
    <s v="Bir varil filtre satıldı."/>
    <n v="400"/>
    <n v="400"/>
    <n v="0"/>
    <x v="44"/>
    <x v="2"/>
  </r>
  <r>
    <x v="30"/>
    <s v="3232 Cargo"/>
    <m/>
    <s v="Diferansiyel değişti.(Yol)_x000a_Diferansiyel satıldı."/>
    <n v="60000"/>
    <n v="60000"/>
    <n v="0"/>
    <x v="45"/>
    <x v="0"/>
  </r>
  <r>
    <x v="33"/>
    <s v="3228 Axor"/>
    <s v="16 APU 121"/>
    <s v="Baskı balata değişti.(Yol)"/>
    <n v="15000"/>
    <n v="15000"/>
    <n v="0"/>
    <x v="45"/>
    <x v="1"/>
  </r>
  <r>
    <x v="21"/>
    <s v="3228 Axor"/>
    <m/>
    <s v="Sağ sol çeker balata değişti._x000a_Sağ çeker 5 adet bijon değişti. "/>
    <n v="3000"/>
    <n v="3000"/>
    <n v="0"/>
    <x v="46"/>
    <x v="1"/>
  </r>
  <r>
    <x v="27"/>
    <s v="3232 Cargo"/>
    <m/>
    <s v="Taksimat lastiği değişti."/>
    <n v="200"/>
    <n v="200"/>
    <n v="0"/>
    <x v="46"/>
    <x v="1"/>
  </r>
  <r>
    <x v="5"/>
    <s v="3228 Axor"/>
    <s v="16 ANK 666"/>
    <s v="Sol çeker disk değişti.(Yol)"/>
    <n v="3000"/>
    <n v="3000"/>
    <n v="0"/>
    <x v="47"/>
    <x v="1"/>
  </r>
  <r>
    <x v="44"/>
    <s v="1830 Cargo"/>
    <m/>
    <s v="Motor söküldü."/>
    <n v="36000"/>
    <n v="36000"/>
    <n v="0"/>
    <x v="47"/>
    <x v="1"/>
  </r>
  <r>
    <x v="9"/>
    <s v="3232 Cargo"/>
    <s v="16 LTL 38"/>
    <s v="Sağ arka motor kulağı cıvataları değişti."/>
    <n v="1000"/>
    <n v="1000"/>
    <n v="0"/>
    <x v="47"/>
    <x v="1"/>
  </r>
  <r>
    <x v="9"/>
    <s v="3232 Cargo"/>
    <s v="16 LTL 38"/>
    <s v="Egzoz kazanı değişti._x000a_Kazan bizden takıldı."/>
    <n v="5000"/>
    <n v="5000"/>
    <n v="0"/>
    <x v="48"/>
    <x v="0"/>
  </r>
  <r>
    <x v="33"/>
    <s v="3228 Axor"/>
    <s v="16 APU 121"/>
    <s v="Arka dingil sağ-sol disk ve balatalar değişti."/>
    <n v="4000"/>
    <n v="4000"/>
    <n v="0"/>
    <x v="49"/>
    <x v="1"/>
  </r>
  <r>
    <x v="45"/>
    <s v="3232 Cargo"/>
    <m/>
    <s v="Karter sök-tak işlemi."/>
    <n v="3000"/>
    <n v="3000"/>
    <n v="0"/>
    <x v="50"/>
    <x v="1"/>
  </r>
  <r>
    <x v="16"/>
    <s v="2530 Cargo"/>
    <s v="16 TU 718"/>
    <s v="Yağ bakımı yapıldı."/>
    <n v="1500"/>
    <n v="1500"/>
    <n v="0"/>
    <x v="50"/>
    <x v="1"/>
  </r>
  <r>
    <x v="46"/>
    <s v="3232 Cargo"/>
    <m/>
    <s v="Tazyik sibobu değişti."/>
    <n v="200"/>
    <n v="200"/>
    <n v="0"/>
    <x v="50"/>
    <x v="1"/>
  </r>
  <r>
    <x v="47"/>
    <m/>
    <m/>
    <m/>
    <m/>
    <m/>
    <m/>
    <x v="51"/>
    <x v="1"/>
  </r>
  <r>
    <x v="48"/>
    <s v="3232 Cargo"/>
    <m/>
    <s v="Rot başları değişti._x000a_Sol çeker bijon değişti."/>
    <n v="3000"/>
    <n v="3000"/>
    <n v="0"/>
    <x v="52"/>
    <x v="1"/>
  </r>
  <r>
    <x v="49"/>
    <s v="2640 Axor"/>
    <s v="16 LTB 46"/>
    <s v="Termostatlar değişti."/>
    <n v="400"/>
    <n v="400"/>
    <n v="0"/>
    <x v="52"/>
    <x v="1"/>
  </r>
  <r>
    <x v="44"/>
    <s v="1830 Cargo"/>
    <m/>
    <s v="Motor takıldı.(Yol)"/>
    <n v="36000"/>
    <n v="36000"/>
    <n v="0"/>
    <x v="53"/>
    <x v="1"/>
  </r>
  <r>
    <x v="50"/>
    <s v="3230 Cargo"/>
    <s v="16 NAR 06"/>
    <s v="Enjektörlere O'ring takıldı."/>
    <n v="4000"/>
    <n v="4000"/>
    <n v="0"/>
    <x v="54"/>
    <x v="0"/>
  </r>
  <r>
    <x v="51"/>
    <s v="3230 Cargo"/>
    <s v="16 CPB 66"/>
    <s v="Yağ bakımı yapıldı._x000a_Yağ soğutucu kapak contası değişti."/>
    <n v="2000"/>
    <n v="2000"/>
    <n v="0"/>
    <x v="54"/>
    <x v="1"/>
  </r>
  <r>
    <x v="52"/>
    <s v="Ford Transit"/>
    <s v="38 AGS 188"/>
    <s v="Stop teli değişti._x000a_Kayış değişti._x000a_Şarj dinamosu değişti."/>
    <n v="1000"/>
    <n v="0"/>
    <n v="1000"/>
    <x v="55"/>
    <x v="1"/>
  </r>
  <r>
    <x v="53"/>
    <s v="935 Pro"/>
    <m/>
    <s v="Diferansiyel işçiliği yol._x000a_Dolu istavroz kutusu takıldı."/>
    <n v="50000"/>
    <n v="50000"/>
    <n v="0"/>
    <x v="55"/>
    <x v="0"/>
  </r>
  <r>
    <x v="54"/>
    <m/>
    <s v="16 FN 315"/>
    <s v="Polo satıldı"/>
    <n v="0"/>
    <n v="0"/>
    <n v="0"/>
    <x v="56"/>
    <x v="2"/>
  </r>
  <r>
    <x v="55"/>
    <s v="2640 Axor"/>
    <m/>
    <s v="Radyatör değişti._x000a_Yağ bakımı yapıldı."/>
    <n v="5000"/>
    <n v="5000"/>
    <n v="0"/>
    <x v="57"/>
    <x v="1"/>
  </r>
  <r>
    <x v="56"/>
    <s v="3229 Axor"/>
    <m/>
    <s v="Vites alt körüğü değişti."/>
    <n v="200"/>
    <n v="200"/>
    <n v="0"/>
    <x v="57"/>
    <x v="1"/>
  </r>
  <r>
    <x v="43"/>
    <m/>
    <m/>
    <s v="Radyatör hurdası satıldı."/>
    <n v="480"/>
    <n v="480"/>
    <n v="0"/>
    <x v="57"/>
    <x v="2"/>
  </r>
  <r>
    <x v="57"/>
    <s v="3230 Cargo"/>
    <s v="16 LMC 37"/>
    <s v="Diferansiyel işçiliği yapıldı.(Yol)_x000a_Dolu istavroz kutusu takıldı."/>
    <n v="57000"/>
    <n v="57000"/>
    <n v="0"/>
    <x v="58"/>
    <x v="0"/>
  </r>
  <r>
    <x v="33"/>
    <s v="827 Pro"/>
    <m/>
    <s v="Çift freze aks değişti.(Yol)_x000a_Aks takıldı.(Bizden)"/>
    <n v="10000"/>
    <n v="10000"/>
    <n v="0"/>
    <x v="59"/>
    <x v="0"/>
  </r>
  <r>
    <x v="58"/>
    <s v="1830 Cargo"/>
    <m/>
    <s v="Kısa rot başı değişti."/>
    <n v="500"/>
    <n v="500"/>
    <n v="0"/>
    <x v="59"/>
    <x v="1"/>
  </r>
  <r>
    <x v="46"/>
    <s v="3232 Cargo"/>
    <m/>
    <s v="Kompresör kapağı değişti."/>
    <n v="1000"/>
    <n v="1000"/>
    <n v="0"/>
    <x v="60"/>
    <x v="1"/>
  </r>
  <r>
    <x v="59"/>
    <s v="1838 Cargo "/>
    <m/>
    <s v="Araç tesisatı satıldı."/>
    <n v="12500"/>
    <n v="12500"/>
    <n v="0"/>
    <x v="61"/>
    <x v="2"/>
  </r>
  <r>
    <x v="57"/>
    <s v="3230 Cargo"/>
    <s v="16 LMC 37"/>
    <s v="Yağ  ve yağ filtleri değişti._x000a_Direksiyon hortumu değişti."/>
    <n v="2000"/>
    <n v="2000"/>
    <n v="0"/>
    <x v="62"/>
    <x v="1"/>
  </r>
  <r>
    <x v="60"/>
    <s v="1838 Cargo"/>
    <m/>
    <s v="Şanzıman kibrit kutusu değişti."/>
    <n v="140"/>
    <n v="140"/>
    <n v="0"/>
    <x v="63"/>
    <x v="1"/>
  </r>
  <r>
    <x v="60"/>
    <s v="1838 Cargo"/>
    <m/>
    <s v="Sol ön teker ön düzen işçiliği yapıldı."/>
    <n v="10000"/>
    <n v="10000"/>
    <n v="0"/>
    <x v="64"/>
    <x v="1"/>
  </r>
  <r>
    <x v="57"/>
    <s v="3230 Cargo"/>
    <s v="16 LMC 37"/>
    <s v="Kompresör kapağı değişti.(Yol)"/>
    <n v="5000"/>
    <n v="5000"/>
    <n v="0"/>
    <x v="64"/>
    <x v="1"/>
  </r>
  <r>
    <x v="61"/>
    <s v="3236 Cargo"/>
    <s v="16 AGN 373"/>
    <s v="Sağ sol rot başı değişti."/>
    <n v="1500"/>
    <n v="1500"/>
    <n v="0"/>
    <x v="65"/>
    <x v="1"/>
  </r>
  <r>
    <x v="5"/>
    <s v="3228 Axor"/>
    <s v="16 AUL 029"/>
    <s v="Sağ şeytan dingil basma körüğü değişti."/>
    <n v="0"/>
    <n v="0"/>
    <n v="0"/>
    <x v="65"/>
    <x v="1"/>
  </r>
  <r>
    <x v="62"/>
    <s v="2524 Cargo"/>
    <m/>
    <s v="Yağ bakımı yapıldı."/>
    <n v="1500"/>
    <n v="1500"/>
    <n v="0"/>
    <x v="65"/>
    <x v="1"/>
  </r>
  <r>
    <x v="34"/>
    <s v="827 Pro"/>
    <s v="16 ADS 60"/>
    <s v="Direksiyon pompası değişti._x000a_Direksiyon kutusu sök-tak yapıldı._x000a_Sağ-sol far değişti."/>
    <n v="10000"/>
    <n v="10000"/>
    <n v="0"/>
    <x v="65"/>
    <x v="1"/>
  </r>
  <r>
    <x v="63"/>
    <s v="2521 Mercedes"/>
    <s v="16 YK 909"/>
    <s v="Yağ bakımı yapıldı._x000a_Depo değişti.(Eski borç)"/>
    <n v="3000"/>
    <n v="3000"/>
    <n v="0"/>
    <x v="66"/>
    <x v="1"/>
  </r>
  <r>
    <x v="64"/>
    <s v="1838 Axor"/>
    <s v="34 HB 1772"/>
    <s v="Sağ-sol rotbaşı değişti."/>
    <n v="2000"/>
    <n v="2000"/>
    <n v="0"/>
    <x v="66"/>
    <x v="1"/>
  </r>
  <r>
    <x v="65"/>
    <m/>
    <m/>
    <s v="75'lik ZF şanzıman damper pompa dişlisi satıldı."/>
    <n v="1500"/>
    <n v="1500"/>
    <n v="0"/>
    <x v="66"/>
    <x v="2"/>
  </r>
  <r>
    <x v="66"/>
    <s v="3232 Cargo"/>
    <s v="34 J 4377"/>
    <s v="Pompa ve enjektörler söküldü."/>
    <n v="5000"/>
    <n v="5000"/>
    <n v="0"/>
    <x v="67"/>
    <x v="1"/>
  </r>
  <r>
    <x v="21"/>
    <s v="3228 Axor"/>
    <m/>
    <s v="Yağ sensörü değişti._x000a_Sağ sol ön tekerler sökülüp takıldı."/>
    <n v="1500"/>
    <n v="1500"/>
    <n v="0"/>
    <x v="68"/>
    <x v="1"/>
  </r>
  <r>
    <x v="67"/>
    <s v="Super 900"/>
    <m/>
    <s v="Egzoz manifoltu değişti."/>
    <n v="7000"/>
    <n v="7000"/>
    <n v="0"/>
    <x v="69"/>
    <x v="0"/>
  </r>
  <r>
    <x v="68"/>
    <s v="2524 Cargo"/>
    <s v="16 ALG 108"/>
    <s v="Ağır seri ventili tamiri yapıldı."/>
    <n v="400"/>
    <n v="400"/>
    <n v="0"/>
    <x v="69"/>
    <x v="1"/>
  </r>
  <r>
    <x v="69"/>
    <s v="827 Pro"/>
    <s v="43 UY 078"/>
    <s v="Sol şeytan kaldırma körüğü tamiri yapıldı._x000a_Yağ kaçakları giderildi."/>
    <n v="500"/>
    <n v="500"/>
    <n v="0"/>
    <x v="69"/>
    <x v="1"/>
  </r>
  <r>
    <x v="47"/>
    <m/>
    <m/>
    <m/>
    <m/>
    <m/>
    <n v="0"/>
    <x v="70"/>
    <x v="1"/>
  </r>
  <r>
    <x v="67"/>
    <s v="Super 900"/>
    <m/>
    <s v="Külbütör kapak contası değişti."/>
    <n v="600"/>
    <n v="600"/>
    <n v="0"/>
    <x v="71"/>
    <x v="1"/>
  </r>
  <r>
    <x v="45"/>
    <s v="3232 Cargo"/>
    <s v="49 AB 966"/>
    <s v="Manifolt contaları değişti."/>
    <n v="1000"/>
    <n v="1000"/>
    <n v="0"/>
    <x v="71"/>
    <x v="1"/>
  </r>
  <r>
    <x v="14"/>
    <s v="624 Pro"/>
    <m/>
    <s v="Radyatör sökülüp takıldı._x000a_Ön kapak contası ve krank keçesi değişti._x000a_5 litre şanzıman yağı konuldu."/>
    <n v="6000"/>
    <n v="6000"/>
    <n v="0"/>
    <x v="72"/>
    <x v="0"/>
  </r>
  <r>
    <x v="57"/>
    <s v="3230 Cargo"/>
    <s v="16 LMC 37"/>
    <s v="Sağ şeytan dingil kaldırma körüğü değişti."/>
    <n v="500"/>
    <n v="500"/>
    <n v="0"/>
    <x v="72"/>
    <x v="1"/>
  </r>
  <r>
    <x v="30"/>
    <s v="3232 Cargo"/>
    <m/>
    <s v="Kompresör boruları komple değişti."/>
    <n v="1000"/>
    <n v="1000"/>
    <n v="0"/>
    <x v="72"/>
    <x v="1"/>
  </r>
  <r>
    <x v="50"/>
    <s v="2524 Cargo"/>
    <m/>
    <s v="Mazot deposu temizlendi."/>
    <n v="200"/>
    <n v="200"/>
    <n v="0"/>
    <x v="73"/>
    <x v="1"/>
  </r>
  <r>
    <x v="64"/>
    <s v="3230 Cargo"/>
    <m/>
    <s v="Yağ bakımı yapıldı."/>
    <n v="2000"/>
    <n v="2000"/>
    <n v="0"/>
    <x v="73"/>
    <x v="1"/>
  </r>
  <r>
    <x v="1"/>
    <s v="3228 Cargo"/>
    <m/>
    <s v="Antifriz koyuldu."/>
    <n v="100"/>
    <n v="100"/>
    <n v="0"/>
    <x v="73"/>
    <x v="1"/>
  </r>
  <r>
    <x v="39"/>
    <s v="2521 Mercedes"/>
    <m/>
    <s v="Kompresör kapağı değişti.(Yol)"/>
    <n v="3000"/>
    <n v="3000"/>
    <n v="0"/>
    <x v="74"/>
    <x v="1"/>
  </r>
  <r>
    <x v="70"/>
    <s v="3340 Axor"/>
    <m/>
    <s v="Debriyaj bilyası ve baskı balata değişti."/>
    <n v="22500"/>
    <n v="22500"/>
    <n v="0"/>
    <x v="74"/>
    <x v="0"/>
  </r>
  <r>
    <x v="66"/>
    <s v="3232 Cargo"/>
    <s v="49 AAE 737"/>
    <s v="Sol ön teker dingil burçları değişti.(Parçalar bizden)"/>
    <n v="15000"/>
    <n v="15000"/>
    <n v="0"/>
    <x v="75"/>
    <x v="0"/>
  </r>
  <r>
    <x v="56"/>
    <s v="3229 Axor"/>
    <m/>
    <s v="Yağ bakımı yapıldı._x000a_Dingil kaldırma valfi değişti."/>
    <n v="1200"/>
    <n v="1200"/>
    <n v="0"/>
    <x v="75"/>
    <x v="1"/>
  </r>
  <r>
    <x v="66"/>
    <s v="3232 Cargo"/>
    <s v="49 AAE 737"/>
    <s v="Röle ventili tamiri yapıldı."/>
    <n v="750"/>
    <n v="750"/>
    <n v="0"/>
    <x v="76"/>
    <x v="1"/>
  </r>
  <r>
    <x v="40"/>
    <s v="827 Pro"/>
    <m/>
    <s v="Hava kaçağı giderildi._x000a_Kompresör yağlama hortumu değişti.(Yol)"/>
    <n v="1500"/>
    <n v="1500"/>
    <n v="0"/>
    <x v="77"/>
    <x v="1"/>
  </r>
  <r>
    <x v="17"/>
    <s v="3229 Axor"/>
    <s v="16 BFM 727"/>
    <s v="Debriyaj bilyası/merkezi değişti."/>
    <n v="10000"/>
    <n v="10000"/>
    <n v="0"/>
    <x v="78"/>
    <x v="1"/>
  </r>
  <r>
    <x v="71"/>
    <s v="3228 Axor"/>
    <m/>
    <s v="Ön sağ teker değişti.(Yol)"/>
    <n v="2000"/>
    <n v="2000"/>
    <n v="0"/>
    <x v="78"/>
    <x v="1"/>
  </r>
  <r>
    <x v="72"/>
    <s v="1838 Cargo"/>
    <m/>
    <s v="Mazot filtreleri ve enjektör borusu değişti."/>
    <n v="500"/>
    <n v="500"/>
    <n v="0"/>
    <x v="78"/>
    <x v="1"/>
  </r>
  <r>
    <x v="25"/>
    <s v="3232 Cargo"/>
    <m/>
    <s v="Baskı balata ve volan değişti._x000a_Sol arka motor kulağı değişti._x000a_Baskı ve volan bizden."/>
    <n v="34000"/>
    <n v="34000"/>
    <n v="0"/>
    <x v="79"/>
    <x v="0"/>
  </r>
  <r>
    <x v="73"/>
    <m/>
    <m/>
    <s v="1304 406 011 kodlu şanzıman ayı satıldı."/>
    <n v="3000"/>
    <n v="3000"/>
    <n v="0"/>
    <x v="79"/>
    <x v="2"/>
  </r>
  <r>
    <x v="74"/>
    <s v="3029 Mercedes"/>
    <s v="16 RM 695"/>
    <s v="Sağ sol rot başı değişti."/>
    <n v="2300"/>
    <n v="2300"/>
    <n v="0"/>
    <x v="80"/>
    <x v="1"/>
  </r>
  <r>
    <x v="75"/>
    <s v="3232 Cargo"/>
    <s v="49 AY 565"/>
    <s v="Direksiyon boruları değişti._x000a_İmdat kolu değişti."/>
    <n v="1250"/>
    <n v="1250"/>
    <n v="0"/>
    <x v="80"/>
    <x v="1"/>
  </r>
  <r>
    <x v="45"/>
    <s v="3232 Cargo "/>
    <s v="49 AB 966"/>
    <s v="Volan bilyası değişti."/>
    <n v="10000"/>
    <n v="10000"/>
    <n v="0"/>
    <x v="81"/>
    <x v="1"/>
  </r>
  <r>
    <x v="76"/>
    <s v="1840 Axor"/>
    <s v="06 CES 422"/>
    <s v="Geri bilyaları değişti._x000a_Kayışları değişti._x000a_Şarj dinamosu tamir edildi."/>
    <n v="3500"/>
    <n v="3500"/>
    <n v="0"/>
    <x v="81"/>
    <x v="1"/>
  </r>
  <r>
    <x v="77"/>
    <s v="832 Pro"/>
    <s v="10 U 2099"/>
    <s v="Motor söküldü."/>
    <m/>
    <m/>
    <n v="0"/>
    <x v="82"/>
    <x v="1"/>
  </r>
  <r>
    <x v="6"/>
    <s v="3228 Axor"/>
    <m/>
    <s v="Kompresör kapağı değişti."/>
    <n v="1000"/>
    <n v="1000"/>
    <n v="0"/>
    <x v="83"/>
    <x v="1"/>
  </r>
  <r>
    <x v="78"/>
    <s v="620 Pro"/>
    <s v="41 VF 125"/>
    <s v="Yağ bakımı yapıldı._x000a_Sağ ön fren hortumu değişti."/>
    <n v="500"/>
    <n v="500"/>
    <n v="0"/>
    <x v="84"/>
    <x v="1"/>
  </r>
  <r>
    <x v="40"/>
    <s v="3229 Axor"/>
    <s v="16 BOY 078"/>
    <s v="Yağ bakımı yapıldı."/>
    <n v="1500"/>
    <n v="1500"/>
    <n v="0"/>
    <x v="84"/>
    <x v="1"/>
  </r>
  <r>
    <x v="79"/>
    <s v="3230 Cargo"/>
    <m/>
    <s v="Şaftın yönü düzeltildi."/>
    <n v="300"/>
    <n v="300"/>
    <n v="0"/>
    <x v="85"/>
    <x v="1"/>
  </r>
  <r>
    <x v="58"/>
    <s v="1830 Cargo"/>
    <s v="16 BAE 088"/>
    <s v="Yağ bakımı yapıldı._x000a_Vites halatları değişti."/>
    <n v="3500"/>
    <n v="3500"/>
    <n v="0"/>
    <x v="86"/>
    <x v="1"/>
  </r>
  <r>
    <x v="80"/>
    <s v="1838 Cargo"/>
    <s v="16 BNV 856"/>
    <s v="Şanzıman işçiliği yapıldı."/>
    <n v="20000"/>
    <n v="20000"/>
    <n v="0"/>
    <x v="86"/>
    <x v="1"/>
  </r>
  <r>
    <x v="75"/>
    <s v="3232 Cargo"/>
    <s v="49 AY 565"/>
    <s v="Diferansiyel bakımı yapıldı."/>
    <n v="20750"/>
    <n v="20750"/>
    <n v="0"/>
    <x v="87"/>
    <x v="0"/>
  </r>
  <r>
    <x v="44"/>
    <s v="280 Dev Fatih"/>
    <m/>
    <s v="Diferansiyel bakımı yapıldı."/>
    <n v="12000"/>
    <n v="12000"/>
    <n v="0"/>
    <x v="88"/>
    <x v="1"/>
  </r>
  <r>
    <x v="81"/>
    <s v="2530 Cargo"/>
    <s v="16 J 6013"/>
    <s v="Baskı balata değişti."/>
    <n v="9500"/>
    <n v="9500"/>
    <n v="0"/>
    <x v="89"/>
    <x v="1"/>
  </r>
  <r>
    <x v="77"/>
    <s v="832 Pro"/>
    <s v="10 U 2099"/>
    <s v="Motor işçiliği yapıldı._x000a_Vites kulesi değişti.(Bizden)_x000a_Egzoz tamiri yapıldı._x000a_Gaz pedalı tamiri yapıldı._x000a_Kabin kaldırma krikosu ve boruları değişti._x000a_Enjektör borusu ve kızdırma bobini satıldı."/>
    <n v="87000"/>
    <n v="87000"/>
    <n v="0"/>
    <x v="90"/>
    <x v="0"/>
  </r>
  <r>
    <x v="44"/>
    <s v="1830 Cargo"/>
    <m/>
    <s v="Diferansiyel satıldı."/>
    <n v="48000"/>
    <n v="48000"/>
    <n v="0"/>
    <x v="91"/>
    <x v="0"/>
  </r>
  <r>
    <x v="82"/>
    <s v="3230 Cargo"/>
    <s v="16 DY 149"/>
    <s v="Kompresör kapağı değişti._x000a_Dörtlü dağıtıcı değişti."/>
    <n v="2000"/>
    <n v="2000"/>
    <n v="0"/>
    <x v="91"/>
    <x v="1"/>
  </r>
  <r>
    <x v="83"/>
    <s v="1840 Axor"/>
    <s v="16 BGF 674"/>
    <s v="Çamurluklar değişti._x000a_Basamaklar değişti._x000a_Ön tampon parçaları ve sis farları değişti."/>
    <n v="4000"/>
    <n v="4000"/>
    <n v="0"/>
    <x v="92"/>
    <x v="1"/>
  </r>
  <r>
    <x v="84"/>
    <s v="2526 Cargo"/>
    <s v="16 BKZ 609"/>
    <s v="Şanzıman işçiliği yapıldı._x000a_Yağ değişimi yapıldı."/>
    <n v="15000"/>
    <n v="15000"/>
    <n v="0"/>
    <x v="93"/>
    <x v="1"/>
  </r>
  <r>
    <x v="85"/>
    <s v="1838 Cargo"/>
    <s v="16 BDZ 180"/>
    <s v="Diferansiyel değişti._x000a_Diferansiyel satıldı."/>
    <n v="85000"/>
    <n v="75000"/>
    <n v="10000"/>
    <x v="93"/>
    <x v="0"/>
  </r>
  <r>
    <x v="86"/>
    <s v="3232 Cargo"/>
    <m/>
    <s v="Diferansiyel satıldı."/>
    <n v="65000"/>
    <n v="65000"/>
    <n v="0"/>
    <x v="93"/>
    <x v="2"/>
  </r>
  <r>
    <x v="87"/>
    <s v="2532 Cargo"/>
    <s v="16 CPB 928"/>
    <s v="Egzoz manifolt contaları değişti."/>
    <n v="2000"/>
    <n v="2000"/>
    <n v="0"/>
    <x v="93"/>
    <x v="1"/>
  </r>
  <r>
    <x v="88"/>
    <s v="1838  Cargo"/>
    <s v="16 N 4828"/>
    <s v="Şanzıman işçiliği yapıldı._x000a_AdBlue tankı değişti.(Bizden)"/>
    <n v="30000"/>
    <n v="30000"/>
    <n v="0"/>
    <x v="94"/>
    <x v="0"/>
  </r>
  <r>
    <x v="89"/>
    <s v="620 Pro"/>
    <s v="26 AEE 616"/>
    <s v="Termostatlar değişti."/>
    <n v="600"/>
    <n v="600"/>
    <n v="0"/>
    <x v="95"/>
    <x v="1"/>
  </r>
  <r>
    <x v="9"/>
    <s v="3232 Cargo"/>
    <s v="16 LTL 38"/>
    <s v="Radyatör sökülüp takıldı._x000a_Ön sağ-sol körük lastiği değişti._x000a_Ön sağ  körük değişti.(Bizden)_x000a_Ön sol fren hortumları değişti. "/>
    <n v="7000"/>
    <n v="7000"/>
    <n v="0"/>
    <x v="95"/>
    <x v="0"/>
  </r>
  <r>
    <x v="90"/>
    <s v="Hino"/>
    <s v="16 LHT 50"/>
    <s v="Yağ bakımı yapıldı._x000a_Sağ çeker körük tamiri yapıldı."/>
    <n v="3500"/>
    <n v="3500"/>
    <n v="0"/>
    <x v="96"/>
    <x v="0"/>
  </r>
  <r>
    <x v="66"/>
    <s v="1835 Axor"/>
    <s v="34 EJ 2557"/>
    <s v="Mazot geri dönüş hortumu değişti."/>
    <n v="500"/>
    <n v="500"/>
    <n v="0"/>
    <x v="97"/>
    <x v="1"/>
  </r>
  <r>
    <x v="61"/>
    <s v="4136 Cargo"/>
    <s v="06 DC 6655"/>
    <s v="Şanzıman işçiliği yapıldı."/>
    <n v="19000"/>
    <n v="19000"/>
    <n v="0"/>
    <x v="98"/>
    <x v="1"/>
  </r>
  <r>
    <x v="91"/>
    <s v="2521 Axor"/>
    <s v="16 BMD 29"/>
    <s v="Yağ bakımı yapıldı._x000a_Gaz pedalı değişti."/>
    <n v="3000"/>
    <n v="3000"/>
    <n v="0"/>
    <x v="98"/>
    <x v="1"/>
  </r>
  <r>
    <x v="11"/>
    <s v="3536 Cargo"/>
    <s v="16 CDE 60"/>
    <s v="Yağ bakımı yapıldı."/>
    <n v="1500"/>
    <n v="1500"/>
    <n v="0"/>
    <x v="98"/>
    <x v="1"/>
  </r>
  <r>
    <x v="92"/>
    <s v="3230 Cargo"/>
    <s v="16 K 8593"/>
    <s v="Şanzıman işçiliği yapıldı._x000a_Parçalar takıldı.(Bizden)"/>
    <n v="25000"/>
    <n v="25000"/>
    <n v="0"/>
    <x v="99"/>
    <x v="0"/>
  </r>
  <r>
    <x v="18"/>
    <s v="1838 Cargo"/>
    <s v="16 FBB 08"/>
    <s v="Tek freze aks değişti yol.(Aks bizden)"/>
    <n v="10000"/>
    <n v="6000"/>
    <n v="4000"/>
    <x v="99"/>
    <x v="0"/>
  </r>
  <r>
    <x v="93"/>
    <s v="4136 Cargo(Mikser)"/>
    <s v="16 UG 228"/>
    <s v="Şanzıman işçiliğ yapıldı. _x000a_Orta askı değişti."/>
    <n v="25000"/>
    <n v="25000"/>
    <n v="0"/>
    <x v="100"/>
    <x v="1"/>
  </r>
  <r>
    <x v="94"/>
    <s v="3232 Cargo"/>
    <s v="49 AAT 457"/>
    <s v="Baskı balata değişti._x000a_Yağ bakımı yapıldı."/>
    <n v="12000"/>
    <n v="12000"/>
    <n v="0"/>
    <x v="101"/>
    <x v="1"/>
  </r>
  <r>
    <x v="5"/>
    <s v="1840 Axor"/>
    <s v="16 BNK 118"/>
    <s v="Termostatlar değişti."/>
    <n v="500"/>
    <n v="500"/>
    <n v="0"/>
    <x v="101"/>
    <x v="1"/>
  </r>
  <r>
    <x v="92"/>
    <s v="3230 Cargo"/>
    <s v="16 K 8593"/>
    <s v="Yağ bakımı yapıldı."/>
    <n v="1600"/>
    <n v="1600"/>
    <n v="0"/>
    <x v="102"/>
    <x v="1"/>
  </r>
  <r>
    <x v="95"/>
    <s v="3228 Axor"/>
    <s v="16 BHJ 879"/>
    <s v="Yağ bakımı yapıldı."/>
    <n v="1500"/>
    <n v="1500"/>
    <n v="0"/>
    <x v="102"/>
    <x v="1"/>
  </r>
  <r>
    <x v="40"/>
    <s v="827 Pro"/>
    <s v="16 KPV 23"/>
    <s v="Kısa rot değişti."/>
    <n v="1500"/>
    <n v="1500"/>
    <n v="0"/>
    <x v="103"/>
    <x v="1"/>
  </r>
  <r>
    <x v="40"/>
    <s v="Mitsubishi"/>
    <s v="16 KMF 77"/>
    <s v="Ön düzen işçiliği yapıldı.(Sağ-Sol)"/>
    <n v="10000"/>
    <n v="10000"/>
    <n v="0"/>
    <x v="103"/>
    <x v="1"/>
  </r>
  <r>
    <x v="5"/>
    <s v="3228 Axor"/>
    <s v="77 BB 981"/>
    <s v="Yağ değişimi yapıldı."/>
    <n v="1500"/>
    <n v="1500"/>
    <n v="0"/>
    <x v="104"/>
    <x v="1"/>
  </r>
  <r>
    <x v="96"/>
    <s v="Super 900"/>
    <s v="08 K 0290"/>
    <s v="Ön motor kulakları değişti."/>
    <n v="1000"/>
    <n v="1000"/>
    <n v="0"/>
    <x v="104"/>
    <x v="1"/>
  </r>
  <r>
    <x v="43"/>
    <m/>
    <m/>
    <s v="Bir varil yağ satıldı."/>
    <n v="1250"/>
    <n v="1250"/>
    <n v="0"/>
    <x v="105"/>
    <x v="2"/>
  </r>
  <r>
    <x v="97"/>
    <s v="Hino"/>
    <s v="16 AUN 746"/>
    <s v="Yağ değişimi yapıldı."/>
    <n v="600"/>
    <n v="600"/>
    <n v="0"/>
    <x v="106"/>
    <x v="1"/>
  </r>
  <r>
    <x v="68"/>
    <s v="2524 Cargo"/>
    <s v="16 BLT 309"/>
    <s v="Tahliye giriş hortumu değişti."/>
    <n v="500"/>
    <n v="500"/>
    <n v="0"/>
    <x v="106"/>
    <x v="1"/>
  </r>
  <r>
    <x v="98"/>
    <s v="4136 Cargo"/>
    <s v="16 ALG 108"/>
    <s v="Yağ bakımı yapıldı._x000a_Alt merkez tamiri yapıldı._x000a_Klima kayışı değişimi yapıldı.(Yol)"/>
    <n v="3000"/>
    <n v="3000"/>
    <n v="0"/>
    <x v="106"/>
    <x v="1"/>
  </r>
  <r>
    <x v="99"/>
    <s v="3228 Axor"/>
    <m/>
    <s v="Radyatör, intercooler,fan, turbo ve yağ değişimi yapıldı."/>
    <n v="12500"/>
    <n v="12500"/>
    <n v="0"/>
    <x v="106"/>
    <x v="1"/>
  </r>
  <r>
    <x v="43"/>
    <m/>
    <m/>
    <s v="Bir varil filtre satıldı._x000a_Bir radyatör ve bir intercooler hurdası satıldı."/>
    <n v="1600"/>
    <n v="1600"/>
    <n v="0"/>
    <x v="107"/>
    <x v="2"/>
  </r>
  <r>
    <x v="5"/>
    <s v="3228 Axor"/>
    <s v="16 AUL 029"/>
    <s v="Yağ bakımı yapıldı._x000a_Sol arka dingil balataları, sağ tarafın diski değişti._x000a_Sol çeker bijonları değişti."/>
    <n v="6000"/>
    <n v="6000"/>
    <n v="0"/>
    <x v="108"/>
    <x v="1"/>
  </r>
  <r>
    <x v="100"/>
    <s v="2526 Cargo"/>
    <m/>
    <s v="Kompresör kapağı değişti.(Yol)"/>
    <n v="2400"/>
    <n v="2400"/>
    <n v="0"/>
    <x v="109"/>
    <x v="1"/>
  </r>
  <r>
    <x v="85"/>
    <s v="1838 Cargo"/>
    <s v="16 BDZ 180"/>
    <s v="Yağ bakımı yapıldı."/>
    <n v="1500"/>
    <n v="1500"/>
    <n v="0"/>
    <x v="109"/>
    <x v="1"/>
  </r>
  <r>
    <x v="34"/>
    <s v="827 Pro"/>
    <s v="16 ADS 60"/>
    <s v="Yağ bakımı yapıldı."/>
    <n v="1200"/>
    <n v="1200"/>
    <n v="0"/>
    <x v="110"/>
    <x v="1"/>
  </r>
  <r>
    <x v="75"/>
    <s v="3232 Cargo"/>
    <s v="49 AY 565"/>
    <s v="Rot başları değişti."/>
    <n v="1000"/>
    <n v="1000"/>
    <n v="0"/>
    <x v="111"/>
    <x v="1"/>
  </r>
  <r>
    <x v="101"/>
    <s v="3228 Axor"/>
    <s v="34 FF 5139"/>
    <s v="Diferansiyel değişti._x000a_Sağ sol çeker balataları değişti."/>
    <n v="15500"/>
    <n v="15500"/>
    <n v="0"/>
    <x v="111"/>
    <x v="1"/>
  </r>
  <r>
    <x v="95"/>
    <s v="3228 Axor"/>
    <s v="16 BHJ 879"/>
    <s v="Sol basamak değişti."/>
    <n v="400"/>
    <n v="400"/>
    <n v="0"/>
    <x v="112"/>
    <x v="1"/>
  </r>
  <r>
    <x v="22"/>
    <s v="2524 Cargo"/>
    <s v="16 BHP 153"/>
    <s v="Ağır seri ventili tamiri yapıldı."/>
    <n v="1000"/>
    <n v="1000"/>
    <n v="0"/>
    <x v="112"/>
    <x v="1"/>
  </r>
  <r>
    <x v="45"/>
    <s v="3232 Cargo"/>
    <s v="49 AB 966"/>
    <s v="Radyatör temizliği yapıldı."/>
    <n v="3500"/>
    <n v="3500"/>
    <n v="0"/>
    <x v="112"/>
    <x v="1"/>
  </r>
  <r>
    <x v="33"/>
    <s v="3232 Cargo"/>
    <s v="16 JUH 32"/>
    <s v="Yağ bakımı yapıldı._x000a_Sol kabin kilidi değişti."/>
    <n v="1800"/>
    <n v="1800"/>
    <n v="0"/>
    <x v="113"/>
    <x v="1"/>
  </r>
  <r>
    <x v="102"/>
    <s v="3230 Cargo"/>
    <s v="16 AIE 458"/>
    <s v="Sol ön teker bilyası değişti.(Bizden)"/>
    <n v="1000"/>
    <n v="1000"/>
    <n v="0"/>
    <x v="113"/>
    <x v="0"/>
  </r>
  <r>
    <x v="94"/>
    <s v="3232 Cargo"/>
    <s v="49 AAT 457"/>
    <s v="Kovan değişti._x000a_Eskilerini biz aldık."/>
    <n v="15000"/>
    <n v="15000"/>
    <n v="0"/>
    <x v="114"/>
    <x v="1"/>
  </r>
  <r>
    <x v="103"/>
    <s v="2521 Axor"/>
    <s v="16 CFR 55"/>
    <s v="Debriyaj bilyası değişti."/>
    <n v="9000"/>
    <n v="9000"/>
    <n v="0"/>
    <x v="114"/>
    <x v="1"/>
  </r>
  <r>
    <x v="99"/>
    <s v="3228 Axor"/>
    <s v="16 BHY 451"/>
    <s v="Sağ şeytan dingil pimi ve amortisörü değişti. (Bizden)"/>
    <n v="4000"/>
    <n v="4000"/>
    <n v="0"/>
    <x v="114"/>
    <x v="0"/>
  </r>
  <r>
    <x v="87"/>
    <s v="2532 Cargo"/>
    <s v="06 CPB 928"/>
    <s v="Şaft ıstavrozu değişti."/>
    <n v="2500"/>
    <n v="2500"/>
    <n v="0"/>
    <x v="115"/>
    <x v="1"/>
  </r>
  <r>
    <x v="87"/>
    <s v="2532 Cargo"/>
    <s v="06 CPB 928"/>
    <s v="Şaft orta askısı değişti.(Yol)(Bilinmeyen tarih)"/>
    <n v="3000"/>
    <n v="3000"/>
    <n v="0"/>
    <x v="115"/>
    <x v="1"/>
  </r>
  <r>
    <x v="87"/>
    <s v="2532 Cargo"/>
    <s v="06 CPB 928"/>
    <s v="Yağ bakımı yapıldı.(Bilinmeyen tarih)"/>
    <n v="1500"/>
    <n v="1500"/>
    <n v="0"/>
    <x v="115"/>
    <x v="1"/>
  </r>
  <r>
    <x v="87"/>
    <s v="2532 Cargo"/>
    <s v="06 CPB 928"/>
    <s v="Motor kulak cıvataları değişti.(Bilinmeyen tarih)"/>
    <n v="500"/>
    <n v="500"/>
    <n v="0"/>
    <x v="115"/>
    <x v="1"/>
  </r>
  <r>
    <x v="12"/>
    <s v="3029 Axor"/>
    <s v="16 LTN 43"/>
    <s v="Gergi makarası değişti._x000a_Şarj dinamosu söküldü._x000a_Egzoz koruma sacı tamiri yapıldı."/>
    <n v="1500"/>
    <n v="1500"/>
    <n v="0"/>
    <x v="116"/>
    <x v="1"/>
  </r>
  <r>
    <x v="101"/>
    <s v="3228 Axor"/>
    <s v="34 BU 8267"/>
    <s v="Sağ sol çeker balataları değişti."/>
    <n v="3000"/>
    <n v="3000"/>
    <n v="0"/>
    <x v="116"/>
    <x v="1"/>
  </r>
  <r>
    <x v="100"/>
    <s v="2524 Cargo"/>
    <s v="16 BHK 62"/>
    <s v="Termostatlar değişti."/>
    <n v="500"/>
    <n v="500"/>
    <n v="0"/>
    <x v="116"/>
    <x v="1"/>
  </r>
  <r>
    <x v="5"/>
    <s v="3229 Axor"/>
    <s v="16 ARA 971"/>
    <s v="Radyatör işçiliği yapıldı."/>
    <n v="4000"/>
    <n v="4000"/>
    <n v="0"/>
    <x v="116"/>
    <x v="1"/>
  </r>
  <r>
    <x v="5"/>
    <s v="3228 Axor"/>
    <s v="77 BB 981"/>
    <s v="Sağ sol çeker balataları değişti._x000a_Sol çeker körüğü değişti._x000a_Sağ sol dingil balatalı değişti._x000a_Sağ dingil diski değişti."/>
    <n v="7500"/>
    <n v="7500"/>
    <n v="0"/>
    <x v="116"/>
    <x v="1"/>
  </r>
  <r>
    <x v="11"/>
    <s v="2532 Cargo"/>
    <s v="16 CDE 60"/>
    <s v="Radyatör hortumu değişti.(Yol)"/>
    <n v="3750"/>
    <n v="3750"/>
    <n v="0"/>
    <x v="117"/>
    <x v="1"/>
  </r>
  <r>
    <x v="100"/>
    <s v="2526 Cargo"/>
    <s v="16 ANU 92"/>
    <s v="Sol ön teker bilyası değişti."/>
    <n v="2000"/>
    <n v="2000"/>
    <n v="0"/>
    <x v="118"/>
    <x v="1"/>
  </r>
  <r>
    <x v="34"/>
    <s v="827 Pro"/>
    <s v="16 ADS 60"/>
    <s v="Krank kasnağı değişti."/>
    <n v="600"/>
    <n v="600"/>
    <n v="0"/>
    <x v="119"/>
    <x v="1"/>
  </r>
  <r>
    <x v="5"/>
    <s v="3228 Axor"/>
    <s v="77 BB 981"/>
    <s v="Debriyaj merkezi kısa hortumu değişti."/>
    <n v="500"/>
    <n v="500"/>
    <n v="0"/>
    <x v="119"/>
    <x v="1"/>
  </r>
  <r>
    <x v="104"/>
    <s v="1838 Cargo"/>
    <s v="16 ATP 911"/>
    <s v="2 Adet lastik takıldı. (Bizden)_x000a_Kısa rot takıldı.(Bizden)_x000a_Çabuk tahliye değişti."/>
    <n v="14000"/>
    <n v="14000"/>
    <n v="0"/>
    <x v="119"/>
    <x v="0"/>
  </r>
  <r>
    <x v="69"/>
    <s v="827 Pro"/>
    <s v="43 UY 078"/>
    <s v="Yağ bakımı yapıldı."/>
    <n v="1500"/>
    <n v="1500"/>
    <n v="0"/>
    <x v="119"/>
    <x v="1"/>
  </r>
  <r>
    <x v="58"/>
    <s v="1830 Cargo"/>
    <s v="16 BAE 088"/>
    <s v="Yağ bakımı yapıldı._x000a_Kompresör kapağı değişti._x000a_Fren hortumu değişti."/>
    <n v="5000"/>
    <n v="5000"/>
    <n v="0"/>
    <x v="120"/>
    <x v="1"/>
  </r>
  <r>
    <x v="105"/>
    <s v="624 Pro"/>
    <s v="07 BBS 131"/>
    <s v="Yağ bakımı yapıldı._x000a_Volan dişlisi değişti."/>
    <n v="13000"/>
    <n v="13000"/>
    <n v="0"/>
    <x v="121"/>
    <x v="1"/>
  </r>
  <r>
    <x v="106"/>
    <s v="3230 Cargo"/>
    <m/>
    <s v="Kompresör kapağı değişti.(Kapak bizden)"/>
    <n v="4000"/>
    <n v="4000"/>
    <n v="0"/>
    <x v="122"/>
    <x v="3"/>
  </r>
  <r>
    <x v="3"/>
    <s v="3232 Cargo"/>
    <s v="34 LHE 07"/>
    <s v="Sağ dingil bijonları değişti."/>
    <m/>
    <m/>
    <n v="0"/>
    <x v="121"/>
    <x v="1"/>
  </r>
  <r>
    <x v="6"/>
    <s v="3228 Axor"/>
    <s v="26 AG 412"/>
    <s v="Sağ çeker disk değişti._x000a_Kaliper tamiri yapıldı."/>
    <n v="4000"/>
    <n v="4000"/>
    <n v="0"/>
    <x v="121"/>
    <x v="1"/>
  </r>
  <r>
    <x v="30"/>
    <s v="3232 Cargo"/>
    <s v="34 BG 0882"/>
    <s v="Yağ bakımı yapıldı._x000a_Sol arka motor kulağı değişti."/>
    <n v="3000"/>
    <n v="3000"/>
    <n v="0"/>
    <x v="123"/>
    <x v="1"/>
  </r>
  <r>
    <x v="50"/>
    <s v="2524 Cargo"/>
    <s v="16 NAR 06"/>
    <s v="Yağ bakımı yapıldı."/>
    <n v="1000"/>
    <n v="1000"/>
    <n v="0"/>
    <x v="123"/>
    <x v="1"/>
  </r>
  <r>
    <x v="22"/>
    <s v="2524 Cargo"/>
    <s v="16 AVP 891"/>
    <s v="Yağ bakımı yapıldı._x000a_4 litre yağ eklendi."/>
    <n v="3350"/>
    <n v="3350"/>
    <n v="0"/>
    <x v="123"/>
    <x v="1"/>
  </r>
  <r>
    <x v="103"/>
    <s v="2521 Cargo"/>
    <s v="16 CFR 55"/>
    <s v="Tahliye değişti."/>
    <n v="400"/>
    <n v="400"/>
    <n v="0"/>
    <x v="124"/>
    <x v="1"/>
  </r>
  <r>
    <x v="107"/>
    <s v="3232 Cargo"/>
    <m/>
    <s v="Alt merkez sibobu değişti."/>
    <n v="550"/>
    <n v="550"/>
    <n v="0"/>
    <x v="124"/>
    <x v="1"/>
  </r>
  <r>
    <x v="62"/>
    <s v="2524 Cargo"/>
    <s v="34 ZB 705"/>
    <s v="Sol çeker körüğü değişti."/>
    <n v="1000"/>
    <n v="1000"/>
    <n v="0"/>
    <x v="125"/>
    <x v="1"/>
  </r>
  <r>
    <x v="40"/>
    <s v="3229 Axor"/>
    <s v="16 BOY 078"/>
    <s v="Ön tekerler ve dingillerin balataları değişti."/>
    <n v="6000"/>
    <n v="6000"/>
    <n v="0"/>
    <x v="125"/>
    <x v="1"/>
  </r>
  <r>
    <x v="80"/>
    <s v="1838 Cargo"/>
    <s v="16 BNV 856"/>
    <s v="Gergi makarası değişti._x000a_Kayış değişti._x000a_Kalorifer musluğu değişti._x000a_Sol arka süspansiyon körüğü değişti.(Körük bizden)"/>
    <n v="3000"/>
    <n v="3000"/>
    <n v="0"/>
    <x v="126"/>
    <x v="0"/>
  </r>
  <r>
    <x v="20"/>
    <s v="1838 Cargo"/>
    <s v="16 KHN 49"/>
    <s v="Yağ bakımı yapıldı."/>
    <n v="1400"/>
    <n v="1400"/>
    <n v="0"/>
    <x v="126"/>
    <x v="1"/>
  </r>
  <r>
    <x v="6"/>
    <s v="3228 Axor"/>
    <s v="26 AG 412"/>
    <s v="Sağ sol dingil balataları değişti._x000a_Sol dingil disk değişti."/>
    <n v="3500"/>
    <n v="3500"/>
    <n v="0"/>
    <x v="126"/>
    <x v="1"/>
  </r>
  <r>
    <x v="108"/>
    <s v="1838 Cargo"/>
    <s v="48 SF 823"/>
    <s v="Yağ bakımı yapıldı."/>
    <n v="1500"/>
    <n v="1500"/>
    <n v="0"/>
    <x v="127"/>
    <x v="1"/>
  </r>
  <r>
    <x v="107"/>
    <s v="3232 Cargo"/>
    <s v="77 AD 257"/>
    <s v="Yağ bakımı yapıldı._x000a_Şanzıman yağı değişti."/>
    <n v="1500"/>
    <n v="1500"/>
    <n v="0"/>
    <x v="127"/>
    <x v="1"/>
  </r>
  <r>
    <x v="107"/>
    <s v="3232 Cargo"/>
    <s v="65 BC 068"/>
    <s v="Yağ bakımı yapıldı."/>
    <n v="1500"/>
    <n v="1500"/>
    <n v="0"/>
    <x v="127"/>
    <x v="1"/>
  </r>
  <r>
    <x v="58"/>
    <s v="1830 Cargo"/>
    <s v="16 BAE 088"/>
    <s v="Enjektör borusu değişti._x000a_Araç yıkandı."/>
    <n v="1800"/>
    <n v="1800"/>
    <n v="0"/>
    <x v="127"/>
    <x v="1"/>
  </r>
  <r>
    <x v="109"/>
    <s v="3232 Cargo"/>
    <s v="46 AAC 799"/>
    <s v="Kovan değişti._x000a_Eskilerini biz aldık."/>
    <n v="27500"/>
    <n v="27500"/>
    <n v="0"/>
    <x v="128"/>
    <x v="1"/>
  </r>
  <r>
    <x v="30"/>
    <s v="3232 Cargo"/>
    <s v="34 BG 0882"/>
    <s v="Diferansiyel değişti. (Yol)"/>
    <n v="28000"/>
    <n v="28000"/>
    <n v="0"/>
    <x v="129"/>
    <x v="0"/>
  </r>
  <r>
    <x v="46"/>
    <s v="3232 Cargo"/>
    <s v="10 Y 6432"/>
    <s v="Üst kapak değişti."/>
    <n v="22000"/>
    <n v="22000"/>
    <n v="0"/>
    <x v="129"/>
    <x v="1"/>
  </r>
  <r>
    <x v="110"/>
    <s v="1835 Axor"/>
    <s v="06 CES 422"/>
    <s v="Basamak değişti."/>
    <n v="600"/>
    <n v="600"/>
    <n v="0"/>
    <x v="129"/>
    <x v="1"/>
  </r>
  <r>
    <x v="67"/>
    <s v="Süper 900"/>
    <s v="08 K 0290"/>
    <s v="Şaft mafsalı yerine sıkıldı."/>
    <n v="600"/>
    <n v="600"/>
    <n v="0"/>
    <x v="129"/>
    <x v="1"/>
  </r>
  <r>
    <x v="111"/>
    <s v="3232 Cargo"/>
    <s v="16 AOE 597"/>
    <s v="Aks değişti.(Yol)"/>
    <m/>
    <m/>
    <n v="0"/>
    <x v="130"/>
    <x v="1"/>
  </r>
  <r>
    <x v="112"/>
    <s v="4136 Cargo"/>
    <m/>
    <s v="Baskı balata değişimi yapıldı.(Yol)"/>
    <n v="20000"/>
    <n v="20000"/>
    <n v="0"/>
    <x v="130"/>
    <x v="1"/>
  </r>
  <r>
    <x v="4"/>
    <s v="3240 Axor"/>
    <s v="16 APV 40"/>
    <s v="Dörtlü dağıtıcı değişti.(Yol)"/>
    <n v="3500"/>
    <n v="3500"/>
    <n v="0"/>
    <x v="131"/>
    <x v="1"/>
  </r>
  <r>
    <x v="33"/>
    <s v="105 Fatih"/>
    <s v="16 BAL 55"/>
    <s v="Silindir kapak contası değişti._x000a_Yağ bakımı yapıldı."/>
    <n v="15000"/>
    <n v="15000"/>
    <n v="0"/>
    <x v="131"/>
    <x v="1"/>
  </r>
  <r>
    <x v="107"/>
    <s v="3232 Cargo"/>
    <s v="65 BC 068"/>
    <s v="Şeytan dingil rot başı değişti.(Rot başı bizden)"/>
    <n v="1200"/>
    <n v="1200"/>
    <n v="0"/>
    <x v="132"/>
    <x v="0"/>
  </r>
  <r>
    <x v="5"/>
    <s v="Hino "/>
    <s v="39 DA 605"/>
    <s v="Sol çeker bijon değişti._x000a_Sol çeker körük hava kaçağı giderildi._x000a_Şarj dinamosu gergi ayağı tamir edildi."/>
    <n v="2000"/>
    <n v="2000"/>
    <n v="0"/>
    <x v="133"/>
    <x v="1"/>
  </r>
  <r>
    <x v="45"/>
    <s v="3232 Cargo"/>
    <s v="49 AB 966"/>
    <s v="Diferansiyel işçiliği yapıldı.(Yol)"/>
    <n v="20000"/>
    <n v="20000"/>
    <n v="0"/>
    <x v="133"/>
    <x v="1"/>
  </r>
  <r>
    <x v="27"/>
    <s v="1840 Axor"/>
    <s v="34 UT 4756"/>
    <s v="Sol çeker ger lastiği değişti."/>
    <m/>
    <m/>
    <n v="0"/>
    <x v="134"/>
    <x v="1"/>
  </r>
  <r>
    <x v="3"/>
    <s v="3232 Cargo"/>
    <s v="34 LHE 07"/>
    <s v="Yağ bakımı yapıldı."/>
    <m/>
    <m/>
    <n v="0"/>
    <x v="134"/>
    <x v="1"/>
  </r>
  <r>
    <x v="12"/>
    <s v="3228 Axor"/>
    <s v="16 ABP 691"/>
    <s v="Şase filtresi takıldı."/>
    <m/>
    <m/>
    <n v="0"/>
    <x v="135"/>
    <x v="1"/>
  </r>
  <r>
    <x v="47"/>
    <m/>
    <s v="49 ABB 606"/>
    <m/>
    <m/>
    <m/>
    <n v="0"/>
    <x v="135"/>
    <x v="1"/>
  </r>
  <r>
    <x v="83"/>
    <s v="1840 Axor"/>
    <s v="16 BGF 674"/>
    <s v="Mahruti keçesi değişti._x000a_Yan korumalık cıvataları yapıldı."/>
    <m/>
    <m/>
    <n v="0"/>
    <x v="135"/>
    <x v="1"/>
  </r>
  <r>
    <x v="113"/>
    <s v="3232 Cargo "/>
    <s v="34 J 4377"/>
    <s v="Kovan değişti._x000a_Eskilerini biz aldık."/>
    <n v="26000"/>
    <n v="26000"/>
    <n v="0"/>
    <x v="136"/>
    <x v="1"/>
  </r>
  <r>
    <x v="112"/>
    <s v="4136 Cargo"/>
    <m/>
    <s v="Motor takozu değişti.(Takoz bizden)"/>
    <n v="22500"/>
    <n v="22500"/>
    <n v="0"/>
    <x v="137"/>
    <x v="0"/>
  </r>
  <r>
    <x v="46"/>
    <s v="3232 Cargo"/>
    <s v="10 Y 6432"/>
    <s v="Kayış ve gergi değişti.(Yol)"/>
    <n v="3000"/>
    <n v="3000"/>
    <n v="0"/>
    <x v="137"/>
    <x v="1"/>
  </r>
  <r>
    <x v="105"/>
    <s v="624 Pro "/>
    <s v="07 BBS 131"/>
    <s v="Radyatör söküldü._x000a_Termostat değişti."/>
    <n v="6000"/>
    <n v="6000"/>
    <n v="0"/>
    <x v="137"/>
    <x v="1"/>
  </r>
  <r>
    <x v="89"/>
    <s v="620 Pro"/>
    <s v="26 AEE 616"/>
    <s v="Yağ bakımı yapıldı._x000a_Termostat değişti."/>
    <n v="1200"/>
    <n v="1200"/>
    <n v="0"/>
    <x v="137"/>
    <x v="1"/>
  </r>
  <r>
    <x v="114"/>
    <s v="1840 Axor"/>
    <s v="34 FZY 562"/>
    <s v="Yağ bakımı yapıldı."/>
    <n v="1250"/>
    <n v="1250"/>
    <n v="0"/>
    <x v="137"/>
    <x v="1"/>
  </r>
  <r>
    <x v="112"/>
    <s v="4140 Axor"/>
    <m/>
    <s v="Baskı balata değişti."/>
    <n v="22500"/>
    <n v="22500"/>
    <n v="0"/>
    <x v="138"/>
    <x v="1"/>
  </r>
  <r>
    <x v="107"/>
    <s v="3232 Cargo"/>
    <s v="77 AD 257"/>
    <s v="Baskı balata değişti."/>
    <n v="10000"/>
    <n v="10000"/>
    <n v="0"/>
    <x v="139"/>
    <x v="1"/>
  </r>
  <r>
    <x v="115"/>
    <s v="440 Renault"/>
    <s v="16 ADG 626"/>
    <s v="PTO söküldü._x000a_Kompresör borusu değişti._x000a_PTO kapağı satıldı."/>
    <n v="1500"/>
    <n v="1500"/>
    <n v="0"/>
    <x v="139"/>
    <x v="0"/>
  </r>
  <r>
    <x v="116"/>
    <s v="1517 Atego"/>
    <m/>
    <s v="Devirdaim değişti."/>
    <n v="1000"/>
    <n v="1000"/>
    <n v="0"/>
    <x v="140"/>
    <x v="1"/>
  </r>
  <r>
    <x v="56"/>
    <s v="3229 Axor"/>
    <s v="16 BEM 295"/>
    <s v="Muaeyeneye hazırlandı."/>
    <n v="400"/>
    <n v="400"/>
    <n v="0"/>
    <x v="140"/>
    <x v="1"/>
  </r>
  <r>
    <x v="107"/>
    <s v="3232 Axor"/>
    <s v="77 AD 257"/>
    <s v="Pervane değişti."/>
    <n v="2000"/>
    <n v="2000"/>
    <n v="0"/>
    <x v="141"/>
    <x v="1"/>
  </r>
  <r>
    <x v="117"/>
    <s v="1840 Axor"/>
    <s v="81 EZ 113"/>
    <s v="Dorse hortumları değişti."/>
    <n v="400"/>
    <n v="400"/>
    <n v="0"/>
    <x v="141"/>
    <x v="1"/>
  </r>
  <r>
    <x v="5"/>
    <s v="3228 Axor"/>
    <s v="16 AUL 029"/>
    <s v="Ön tekerler disk ve balataları değişti._x000a_Sol ön kaliper tamiri yapıldı. Ayar cıvatası değişti.(Bizden)_x000a_Sol çeker disk ve keçe değişti._x000a_Sağ çeker balatalar değişti."/>
    <n v="11000"/>
    <n v="11000"/>
    <n v="0"/>
    <x v="142"/>
    <x v="1"/>
  </r>
  <r>
    <x v="107"/>
    <s v="3229 Axor"/>
    <s v="52 BD 941"/>
    <s v="Sağ sol dingil balataları değişti."/>
    <n v="1500"/>
    <n v="1500"/>
    <n v="0"/>
    <x v="143"/>
    <x v="1"/>
  </r>
  <r>
    <x v="118"/>
    <s v="1838 Cargo"/>
    <s v="Bizim Araç"/>
    <s v="Ön ara şase demiri satıldı."/>
    <n v="10000"/>
    <n v="10000"/>
    <n v="0"/>
    <x v="143"/>
    <x v="2"/>
  </r>
  <r>
    <x v="21"/>
    <s v="3228 Axor"/>
    <m/>
    <s v="Sol dingil bijonları değişti."/>
    <n v="2500"/>
    <n v="2500"/>
    <n v="0"/>
    <x v="143"/>
    <x v="1"/>
  </r>
  <r>
    <x v="119"/>
    <s v="3232 Cargo"/>
    <s v="06 DR 8993"/>
    <s v="Diferansiyel bakımı yapıldı."/>
    <m/>
    <m/>
    <n v="0"/>
    <x v="144"/>
    <x v="1"/>
  </r>
  <r>
    <x v="114"/>
    <s v="1840 Axor"/>
    <s v="34 FZY 562"/>
    <s v="4 Adet lastik satıldı."/>
    <n v="20000"/>
    <n v="17900"/>
    <n v="2100"/>
    <x v="144"/>
    <x v="2"/>
  </r>
  <r>
    <x v="120"/>
    <m/>
    <m/>
    <s v="3 varil yağ satıldı."/>
    <n v="3700"/>
    <n v="3700"/>
    <n v="0"/>
    <x v="145"/>
    <x v="2"/>
  </r>
  <r>
    <x v="121"/>
    <s v="827 Pro"/>
    <s v="16 BLS 97"/>
    <s v="Sağ sol rot başı değişti."/>
    <n v="2000"/>
    <n v="2000"/>
    <n v="0"/>
    <x v="145"/>
    <x v="1"/>
  </r>
  <r>
    <x v="17"/>
    <s v="3228 Axor"/>
    <s v="34 BU 8267"/>
    <s v="Uzun rot değişti."/>
    <n v="2000"/>
    <n v="2000"/>
    <n v="0"/>
    <x v="145"/>
    <x v="1"/>
  </r>
  <r>
    <x v="122"/>
    <s v="3229 Axor"/>
    <s v="16 LDD 20"/>
    <s v="Baskı balata değişti."/>
    <n v="20000"/>
    <n v="20000"/>
    <n v="0"/>
    <x v="146"/>
    <x v="1"/>
  </r>
  <r>
    <x v="21"/>
    <s v="620 Pro"/>
    <s v="16 ANV 26"/>
    <s v="Yağ bakımı yapıldı."/>
    <n v="1500"/>
    <n v="1500"/>
    <n v="0"/>
    <x v="146"/>
    <x v="1"/>
  </r>
  <r>
    <x v="123"/>
    <s v="4136 Cargo"/>
    <m/>
    <s v="Motor söküldü.(Yol)"/>
    <m/>
    <m/>
    <n v="0"/>
    <x v="147"/>
    <x v="1"/>
  </r>
  <r>
    <x v="124"/>
    <s v="4136 Cargo"/>
    <m/>
    <s v="Motor takıldı.(Yol)_x000a_Motor bizden."/>
    <n v="550000"/>
    <n v="200000"/>
    <n v="350000"/>
    <x v="148"/>
    <x v="0"/>
  </r>
  <r>
    <x v="21"/>
    <s v="620 Pro"/>
    <s v="16 ANV 26"/>
    <s v="Krank kasnağı değişti._x000a_Egzoz boğaz kelepçesi değişti."/>
    <n v="2000"/>
    <n v="2000"/>
    <n v="0"/>
    <x v="148"/>
    <x v="1"/>
  </r>
  <r>
    <x v="5"/>
    <s v="1840 Axor"/>
    <s v="16 BNK 118"/>
    <s v="Diferansiyel işçiliği yapıldı."/>
    <n v="15000"/>
    <n v="15000"/>
    <n v="0"/>
    <x v="148"/>
    <x v="1"/>
  </r>
  <r>
    <x v="5"/>
    <s v="1840 Axor"/>
    <s v="16 BNK 118"/>
    <s v="Çeker balataları değişti."/>
    <n v="2500"/>
    <n v="2500"/>
    <n v="0"/>
    <x v="149"/>
    <x v="1"/>
  </r>
  <r>
    <x v="5"/>
    <s v="3228 Axor"/>
    <s v="16 ANK 666"/>
    <s v="Sol dingil ve sağ çeker balataları değişti."/>
    <n v="2500"/>
    <n v="2500"/>
    <n v="0"/>
    <x v="149"/>
    <x v="1"/>
  </r>
  <r>
    <x v="33"/>
    <s v="522 Pro"/>
    <s v="16 AKE 979"/>
    <s v="Yağ bakımı yapıldı._x000a_Sol çeker röle ventili değişti."/>
    <n v="2000"/>
    <n v="2000"/>
    <n v="0"/>
    <x v="149"/>
    <x v="1"/>
  </r>
  <r>
    <x v="64"/>
    <s v="3240 AXOR"/>
    <s v="34 EPZ 806"/>
    <s v="Yağ bakımı yapıldı."/>
    <n v="2000"/>
    <n v="2000"/>
    <n v="0"/>
    <x v="150"/>
    <x v="1"/>
  </r>
  <r>
    <x v="34"/>
    <s v="827 Pro"/>
    <s v="16 ADS 60"/>
    <s v="Şaft mafsalı değişti."/>
    <n v="1400"/>
    <n v="1400"/>
    <n v="0"/>
    <x v="151"/>
    <x v="1"/>
  </r>
  <r>
    <x v="20"/>
    <s v="1838 Cargo"/>
    <m/>
    <s v="Tahliye sök-tak."/>
    <n v="200"/>
    <n v="200"/>
    <n v="0"/>
    <x v="151"/>
    <x v="1"/>
  </r>
  <r>
    <x v="12"/>
    <s v="3228 Axor"/>
    <m/>
    <s v="Şase filtresi takıldı._x000a_Santrafiş değişti._x000a_Volan değişti.(YOL)"/>
    <n v="2000"/>
    <n v="2000"/>
    <n v="0"/>
    <x v="152"/>
    <x v="1"/>
  </r>
  <r>
    <x v="20"/>
    <s v="1838 Axor"/>
    <m/>
    <s v="Kompresör kapağı değişti."/>
    <n v="2200"/>
    <n v="2200"/>
    <n v="0"/>
    <x v="152"/>
    <x v="1"/>
  </r>
  <r>
    <x v="112"/>
    <s v="4140 Axor"/>
    <m/>
    <s v="Şanzıman indi."/>
    <n v="20000"/>
    <n v="20000"/>
    <n v="0"/>
    <x v="153"/>
    <x v="1"/>
  </r>
  <r>
    <x v="115"/>
    <s v="Volvo"/>
    <m/>
    <s v="Mazot filtresi değişti.(Yol)"/>
    <n v="900"/>
    <n v="900"/>
    <n v="0"/>
    <x v="154"/>
    <x v="1"/>
  </r>
  <r>
    <x v="9"/>
    <s v="3232 Cargo"/>
    <m/>
    <s v="Baskı balata indi."/>
    <n v="10000"/>
    <n v="10000"/>
    <n v="0"/>
    <x v="154"/>
    <x v="1"/>
  </r>
  <r>
    <x v="125"/>
    <s v="935 Pro"/>
    <m/>
    <s v="Radyatör ve pervane değişti."/>
    <n v="7500"/>
    <n v="7500"/>
    <n v="0"/>
    <x v="154"/>
    <x v="1"/>
  </r>
  <r>
    <x v="35"/>
    <s v="1835 Cargo"/>
    <m/>
    <s v="Çeşitli işler."/>
    <n v="750"/>
    <n v="750"/>
    <n v="0"/>
    <x v="155"/>
    <x v="1"/>
  </r>
  <r>
    <x v="43"/>
    <m/>
    <m/>
    <s v="935 radyatörü satıldı."/>
    <n v="3150"/>
    <n v="3150"/>
    <n v="0"/>
    <x v="155"/>
    <x v="2"/>
  </r>
  <r>
    <x v="1"/>
    <s v="3230 Cargo"/>
    <m/>
    <s v="Vites halatı değişti.(Yol)"/>
    <n v="5000"/>
    <n v="5000"/>
    <n v="0"/>
    <x v="156"/>
    <x v="1"/>
  </r>
  <r>
    <x v="126"/>
    <s v="3228 Axor"/>
    <m/>
    <s v="Baskı balata değişti."/>
    <n v="10000"/>
    <n v="10000"/>
    <n v="0"/>
    <x v="156"/>
    <x v="1"/>
  </r>
  <r>
    <x v="81"/>
    <s v="2530 cargo"/>
    <m/>
    <s v="Yağ bakımı yapıldı."/>
    <n v="1750"/>
    <n v="1750"/>
    <n v="0"/>
    <x v="157"/>
    <x v="1"/>
  </r>
  <r>
    <x v="120"/>
    <m/>
    <m/>
    <s v="3,5 varil yağ satıldı."/>
    <n v="4000"/>
    <n v="4000"/>
    <n v="0"/>
    <x v="157"/>
    <x v="2"/>
  </r>
  <r>
    <x v="127"/>
    <s v="3232 Cargo"/>
    <m/>
    <s v="Yağ bakımı yapıldı."/>
    <n v="1500"/>
    <n v="1500"/>
    <n v="0"/>
    <x v="157"/>
    <x v="1"/>
  </r>
  <r>
    <x v="125"/>
    <s v="935 Pro"/>
    <m/>
    <s v="Enjektörler değişti._x000a_Mazot otomatiği takıldı."/>
    <n v="7500"/>
    <n v="0"/>
    <n v="7500"/>
    <x v="158"/>
    <x v="1"/>
  </r>
  <r>
    <x v="1"/>
    <s v="3228 Axor"/>
    <m/>
    <s v="Yük-ayar ventili değişti.(Yol)"/>
    <n v="5000"/>
    <n v="5000"/>
    <n v="0"/>
    <x v="158"/>
    <x v="1"/>
  </r>
  <r>
    <x v="20"/>
    <s v="1838 Cargo"/>
    <m/>
    <s v="Kompresör borusu değişti."/>
    <n v="600"/>
    <n v="600"/>
    <n v="0"/>
    <x v="158"/>
    <x v="1"/>
  </r>
  <r>
    <x v="95"/>
    <s v="Renault"/>
    <m/>
    <s v="Termostatlar değişti."/>
    <n v="400"/>
    <n v="400"/>
    <n v="0"/>
    <x v="158"/>
    <x v="1"/>
  </r>
  <r>
    <x v="128"/>
    <s v="2520 Cargo"/>
    <m/>
    <s v="Geri dönüş hortumu değişti."/>
    <n v="500"/>
    <n v="500"/>
    <n v="0"/>
    <x v="158"/>
    <x v="1"/>
  </r>
  <r>
    <x v="1"/>
    <s v="3228 Axor"/>
    <m/>
    <s v="Şanzıman indi.(Yol)"/>
    <n v="16750"/>
    <n v="16750"/>
    <n v="0"/>
    <x v="159"/>
    <x v="0"/>
  </r>
  <r>
    <x v="101"/>
    <s v="Küçük Hino"/>
    <m/>
    <s v="Yağ bakımı yapıldı."/>
    <n v="1500"/>
    <n v="0"/>
    <n v="1500"/>
    <x v="160"/>
    <x v="1"/>
  </r>
  <r>
    <x v="17"/>
    <s v="Isuzu Çekici"/>
    <m/>
    <s v="Yağ bakımı yapıldı."/>
    <n v="1500"/>
    <n v="0"/>
    <n v="1500"/>
    <x v="160"/>
    <x v="1"/>
  </r>
  <r>
    <x v="56"/>
    <s v="3229 Axor"/>
    <m/>
    <s v="V kayışı ve klima kayışı değişti._x000a_Klima gergi bilyası değişti."/>
    <n v="2000"/>
    <n v="2000"/>
    <n v="0"/>
    <x v="160"/>
    <x v="1"/>
  </r>
  <r>
    <x v="64"/>
    <s v="3230 Cargo"/>
    <s v="16 JCL 07"/>
    <s v="Yağ bakımı yapıldı."/>
    <n v="2000"/>
    <n v="2000"/>
    <n v="0"/>
    <x v="160"/>
    <x v="1"/>
  </r>
  <r>
    <x v="129"/>
    <s v="4136 Cargo"/>
    <m/>
    <s v="Arka krank keçesi değişti._x000a_Kompresör su borusu değişti._x000a_Şaft orta askısı değişti."/>
    <n v="2000"/>
    <n v="0"/>
    <n v="2000"/>
    <x v="161"/>
    <x v="1"/>
  </r>
  <r>
    <x v="130"/>
    <s v="1840 Axor"/>
    <s v="16 BEC 674"/>
    <s v="Radyatör ve intercooler yıkandı."/>
    <n v="4000"/>
    <n v="0"/>
    <n v="4000"/>
    <x v="162"/>
    <x v="1"/>
  </r>
  <r>
    <x v="101"/>
    <s v="3228 Axor"/>
    <m/>
    <s v="Kısa rot ve kabin krikosu değişti."/>
    <n v="2000"/>
    <n v="0"/>
    <n v="2000"/>
    <x v="162"/>
    <x v="1"/>
  </r>
  <r>
    <x v="131"/>
    <s v="2524 Cargo"/>
    <m/>
    <s v="Yağ bakımı yapıldı._x000a_Dingil kaldırma valfi değişti."/>
    <n v="3000"/>
    <n v="3000"/>
    <n v="0"/>
    <x v="163"/>
    <x v="0"/>
  </r>
  <r>
    <x v="46"/>
    <s v="3232 Cargo"/>
    <s v="10 Y 6432"/>
    <s v="Direksiyon pompası değişti."/>
    <n v="1100"/>
    <n v="1100"/>
    <n v="0"/>
    <x v="163"/>
    <x v="1"/>
  </r>
  <r>
    <x v="132"/>
    <s v="3228 Axor"/>
    <m/>
    <s v="Hortum takıldı.(Yol)"/>
    <n v="1000"/>
    <n v="1000"/>
    <n v="0"/>
    <x v="163"/>
    <x v="1"/>
  </r>
  <r>
    <x v="44"/>
    <s v="1830 Cargo"/>
    <m/>
    <s v="Çift freze aks verildi."/>
    <n v="5000"/>
    <n v="0"/>
    <n v="5000"/>
    <x v="163"/>
    <x v="2"/>
  </r>
  <r>
    <x v="67"/>
    <s v="Super 900"/>
    <s v="08 K 0290"/>
    <s v="Körük tamiri yapıldı."/>
    <n v="2000"/>
    <n v="2000"/>
    <n v="0"/>
    <x v="164"/>
    <x v="0"/>
  </r>
  <r>
    <x v="48"/>
    <s v="3232 Cargo"/>
    <m/>
    <s v="Kısa rota somun takıldı."/>
    <n v="500"/>
    <n v="500"/>
    <n v="0"/>
    <x v="164"/>
    <x v="1"/>
  </r>
  <r>
    <x v="22"/>
    <s v="2524 Cargo"/>
    <m/>
    <s v="İmdat kolu değişti._x000a_Vites rotillleri değişti._x000a_Denge kolu demiri değişti."/>
    <n v="2400"/>
    <n v="2400"/>
    <n v="0"/>
    <x v="164"/>
    <x v="4"/>
  </r>
  <r>
    <x v="109"/>
    <s v="3232 Cargo"/>
    <m/>
    <s v="Radyatör üst hortumu değişti."/>
    <n v="750"/>
    <n v="750"/>
    <n v="0"/>
    <x v="164"/>
    <x v="1"/>
  </r>
  <r>
    <x v="133"/>
    <m/>
    <m/>
    <s v="Eaton aktarma verildi."/>
    <n v="13500"/>
    <n v="13500"/>
    <n v="0"/>
    <x v="165"/>
    <x v="2"/>
  </r>
  <r>
    <x v="134"/>
    <s v="3229 Axor"/>
    <m/>
    <s v="Ağır seri ventili tamiri yapıldı._x000a_Termostat değişti."/>
    <n v="1250"/>
    <n v="1250"/>
    <n v="0"/>
    <x v="165"/>
    <x v="1"/>
  </r>
  <r>
    <x v="4"/>
    <s v="3228 Axor"/>
    <m/>
    <s v="Silindir kapak contası değişti. "/>
    <n v="15000"/>
    <n v="0"/>
    <n v="15000"/>
    <x v="165"/>
    <x v="1"/>
  </r>
  <r>
    <x v="135"/>
    <s v="3229 Axor"/>
    <m/>
    <s v="Ön teker poryası değişti._x000a_Kısa rot değişti."/>
    <n v="4000"/>
    <n v="4000"/>
    <n v="0"/>
    <x v="166"/>
    <x v="1"/>
  </r>
  <r>
    <x v="4"/>
    <s v="3228 Axor"/>
    <m/>
    <s v="Şeytan dingil 3 adet amortisör değişti._x000a_Ön röle ventili değişti."/>
    <n v="5000"/>
    <n v="0"/>
    <n v="5000"/>
    <x v="166"/>
    <x v="1"/>
  </r>
  <r>
    <x v="109"/>
    <s v="3232 Cargo"/>
    <m/>
    <s v="Enjektörler yer değiştirildi."/>
    <n v="1000"/>
    <n v="1000"/>
    <n v="0"/>
    <x v="166"/>
    <x v="1"/>
  </r>
  <r>
    <x v="5"/>
    <s v="3228 Axor"/>
    <m/>
    <s v="Vites kolu tamir takımı değiştirildi."/>
    <n v="2000"/>
    <n v="0"/>
    <n v="2000"/>
    <x v="166"/>
    <x v="1"/>
  </r>
  <r>
    <x v="136"/>
    <s v="1835 Cargo"/>
    <m/>
    <s v="Yağ bakımı yapıldı._x000a_Kabin kilitleri tamir edildi._x000a_Kabin kaldırma hortumları değişti."/>
    <n v="5000"/>
    <n v="0"/>
    <n v="5000"/>
    <x v="167"/>
    <x v="1"/>
  </r>
  <r>
    <x v="137"/>
    <s v="3232 Cargo"/>
    <m/>
    <s v="Vites kolu tamir takımı değiştirildi."/>
    <n v="1000"/>
    <n v="0"/>
    <n v="1000"/>
    <x v="167"/>
    <x v="1"/>
  </r>
  <r>
    <x v="39"/>
    <s v="2520 Cargo"/>
    <m/>
    <s v="Kısa rot değişti.(Yol)"/>
    <n v="2000"/>
    <n v="2000"/>
    <n v="0"/>
    <x v="167"/>
    <x v="1"/>
  </r>
  <r>
    <x v="138"/>
    <s v="3232 Cargo"/>
    <s v=" "/>
    <s v="Damper hortumu ve taksimat değişti."/>
    <n v="800"/>
    <n v="800"/>
    <n v="0"/>
    <x v="168"/>
    <x v="1"/>
  </r>
  <r>
    <x v="138"/>
    <s v="1846 Cargo"/>
    <m/>
    <s v="Su borusu değişti."/>
    <n v="600"/>
    <n v="600"/>
    <n v="0"/>
    <x v="168"/>
    <x v="1"/>
  </r>
  <r>
    <x v="5"/>
    <s v="Hino"/>
    <m/>
    <s v="2 adet direksiyon borusu değişti."/>
    <n v="1500"/>
    <n v="0"/>
    <n v="1500"/>
    <x v="168"/>
    <x v="1"/>
  </r>
  <r>
    <x v="92"/>
    <s v="3238 Cargo"/>
    <m/>
    <s v="Fren beyin sibobu değişti."/>
    <n v="400"/>
    <n v="400"/>
    <n v="0"/>
    <x v="169"/>
    <x v="1"/>
  </r>
  <r>
    <x v="75"/>
    <s v="3232 Cargo"/>
    <m/>
    <s v="Yağ bakımı yapıldı.(Malzemeler dahil)"/>
    <n v="12500"/>
    <n v="0"/>
    <n v="12500"/>
    <x v="169"/>
    <x v="1"/>
  </r>
  <r>
    <x v="3"/>
    <s v="1840 Axor"/>
    <m/>
    <s v="Yağ bakımı yapıldı._x000a_Şanzıman yağı eklendi."/>
    <n v="2500"/>
    <n v="0"/>
    <n v="2500"/>
    <x v="169"/>
    <x v="1"/>
  </r>
  <r>
    <x v="139"/>
    <s v="1835 Axor"/>
    <m/>
    <s v="Vites kolu yapıldı."/>
    <n v="3000"/>
    <n v="3000"/>
    <n v="0"/>
    <x v="169"/>
    <x v="1"/>
  </r>
  <r>
    <x v="126"/>
    <s v="1835 Axor"/>
    <m/>
    <s v="Kompresör değişti.(yol)"/>
    <n v="5000"/>
    <n v="5000"/>
    <n v="0"/>
    <x v="169"/>
    <x v="1"/>
  </r>
  <r>
    <x v="33"/>
    <s v="110 Fatih"/>
    <m/>
    <s v="Debriyaj hortumu değişti.(yol)_x000a_Kompresör kapağı değişti._x000a_Alt merkez değişti._x000a_Yağ bakımı yapıldı."/>
    <n v="6000"/>
    <n v="6000"/>
    <n v="0"/>
    <x v="170"/>
    <x v="1"/>
  </r>
  <r>
    <x v="34"/>
    <s v="827 Pro"/>
    <m/>
    <s v="Kule bilyası değişti._x000a_Kabin hortumları değişti._x000a_Şanzıman indirildi._x000a_10 litre yağ konuldu."/>
    <n v="13750"/>
    <n v="0"/>
    <n v="13750"/>
    <x v="170"/>
    <x v="0"/>
  </r>
  <r>
    <x v="140"/>
    <s v="620 Pro"/>
    <m/>
    <s v="Hava alındı.(Yol)"/>
    <n v="1000"/>
    <n v="0"/>
    <n v="1000"/>
    <x v="170"/>
    <x v="1"/>
  </r>
  <r>
    <x v="141"/>
    <s v="450 Volvo"/>
    <m/>
    <s v="Direksiyon borusu değişti."/>
    <n v="1000"/>
    <n v="1000"/>
    <n v="0"/>
    <x v="171"/>
    <x v="1"/>
  </r>
  <r>
    <x v="1"/>
    <s v="3230 Cargo"/>
    <m/>
    <s v="Dörtlü dağıtıcı değişti.(Yol)"/>
    <n v="4000"/>
    <n v="4000"/>
    <n v="0"/>
    <x v="172"/>
    <x v="1"/>
  </r>
  <r>
    <x v="1"/>
    <s v="3230 Cargo"/>
    <m/>
    <s v="Direksiyon pompası değişti._x000a_Direksiyon hortumu değişti._x000a_Kabin amortisörü değişti."/>
    <n v="3000"/>
    <n v="3000"/>
    <n v="0"/>
    <x v="172"/>
    <x v="1"/>
  </r>
  <r>
    <x v="44"/>
    <s v="1830 Cargo"/>
    <m/>
    <s v="1 Adet 9/41 diferansiyel verildi._x000a_Difersiyel takıldı.(Yol)"/>
    <m/>
    <m/>
    <n v="0"/>
    <x v="172"/>
    <x v="0"/>
  </r>
  <r>
    <x v="33"/>
    <s v="522 Pro(Yeni)"/>
    <m/>
    <s v="Yağ ve genel bakım yapıldı."/>
    <n v="2000"/>
    <n v="2000"/>
    <n v="0"/>
    <x v="172"/>
    <x v="1"/>
  </r>
  <r>
    <x v="51"/>
    <s v="2621 Cargo"/>
    <m/>
    <s v="Orta askı değişti.(Yol)"/>
    <m/>
    <m/>
    <n v="0"/>
    <x v="173"/>
    <x v="1"/>
  </r>
  <r>
    <x v="51"/>
    <s v="3230 Cargo"/>
    <m/>
    <s v="1 Adet 9/41 diferansiyel verildi._x000a_Difersiyel takıldı.(Yol)"/>
    <m/>
    <m/>
    <n v="0"/>
    <x v="173"/>
    <x v="0"/>
  </r>
  <r>
    <x v="125"/>
    <s v="935 Pro"/>
    <m/>
    <s v="1 adet çift freze aks verildi._x000a_Aks takıldı.(yol)"/>
    <n v="10000"/>
    <n v="0"/>
    <n v="10000"/>
    <x v="173"/>
    <x v="0"/>
  </r>
  <r>
    <x v="34"/>
    <s v="827 Pro"/>
    <m/>
    <s v="Radyatör ve intercooler yıkandı._x000a_Ağır-seri ventili değişti."/>
    <n v="3000"/>
    <n v="0"/>
    <n v="3000"/>
    <x v="173"/>
    <x v="1"/>
  </r>
  <r>
    <x v="103"/>
    <n v="2521"/>
    <m/>
    <s v="Orta askıve kısa rot değişti."/>
    <n v="2600"/>
    <n v="2600"/>
    <n v="0"/>
    <x v="174"/>
    <x v="1"/>
  </r>
  <r>
    <x v="5"/>
    <n v="3228"/>
    <m/>
    <s v="Tahliye değişti.(Yol)"/>
    <n v="5000"/>
    <n v="5000"/>
    <n v="0"/>
    <x v="174"/>
    <x v="1"/>
  </r>
  <r>
    <x v="1"/>
    <s v="3230 cargo"/>
    <m/>
    <s v="Yağ bakımı yapıldı.(Yol)_x000a_Fren beyin sibobu değişti.(Yol)"/>
    <n v="5000"/>
    <n v="5000"/>
    <n v="0"/>
    <x v="175"/>
    <x v="1"/>
  </r>
  <r>
    <x v="33"/>
    <s v="827 Pro"/>
    <m/>
    <s v="Yağ bakımı yapıldı."/>
    <n v="1500"/>
    <n v="1500"/>
    <n v="0"/>
    <x v="175"/>
    <x v="1"/>
  </r>
  <r>
    <x v="138"/>
    <s v="3232 Cargo"/>
    <m/>
    <s v="Gergi makarası ve kayış değişimi yapıldı.(Yol)"/>
    <n v="4000"/>
    <n v="4000"/>
    <n v="0"/>
    <x v="176"/>
    <x v="1"/>
  </r>
  <r>
    <x v="129"/>
    <s v="2530 Cargo"/>
    <m/>
    <s v="Motor arka muhafaza değişti.(Parça bizden)"/>
    <m/>
    <m/>
    <n v="0"/>
    <x v="177"/>
    <x v="0"/>
  </r>
  <r>
    <x v="134"/>
    <s v="3229 Axor"/>
    <m/>
    <s v="İki teker balata değişti._x000a_Kaliper tamiri yapıldı."/>
    <n v="5000"/>
    <n v="0"/>
    <n v="5000"/>
    <x v="177"/>
    <x v="1"/>
  </r>
  <r>
    <x v="126"/>
    <s v="DAF"/>
    <m/>
    <s v="Radyatör alt hortumu değişti.(Yol)"/>
    <n v="5000"/>
    <n v="0"/>
    <n v="5000"/>
    <x v="178"/>
    <x v="1"/>
  </r>
  <r>
    <x v="138"/>
    <s v="1846 cargo"/>
    <m/>
    <s v="Klima kompresörü değişti."/>
    <n v="2500"/>
    <n v="2500"/>
    <n v="0"/>
    <x v="178"/>
    <x v="1"/>
  </r>
  <r>
    <x v="132"/>
    <s v="3228 Axor"/>
    <m/>
    <s v="Yağ bakımı yapıldı._x000a_Egzoz piston hortumu yapıldı."/>
    <n v="2500"/>
    <n v="2500"/>
    <n v="0"/>
    <x v="178"/>
    <x v="1"/>
  </r>
  <r>
    <x v="64"/>
    <s v="3232 Cargo"/>
    <s v="34 HJP 300"/>
    <s v="Radyatör ve intercooler yıkandı."/>
    <n v="5000"/>
    <n v="5000"/>
    <n v="0"/>
    <x v="179"/>
    <x v="1"/>
  </r>
  <r>
    <x v="5"/>
    <s v="Hino"/>
    <m/>
    <s v="Direksiyon hortumları değişti."/>
    <n v="1500"/>
    <n v="0"/>
    <n v="1500"/>
    <x v="179"/>
    <x v="1"/>
  </r>
  <r>
    <x v="34"/>
    <s v="827 Pro"/>
    <m/>
    <s v="Yağ bakımı yapıldı."/>
    <n v="1500"/>
    <n v="0"/>
    <n v="1500"/>
    <x v="179"/>
    <x v="1"/>
  </r>
  <r>
    <x v="64"/>
    <s v="3232 Cargo "/>
    <s v="34 HJP 300"/>
    <s v="Radyatör üst hortumu değişti._x000a_Arka motor kulağı değişti."/>
    <n v="3500"/>
    <n v="3500"/>
    <n v="0"/>
    <x v="180"/>
    <x v="1"/>
  </r>
  <r>
    <x v="108"/>
    <s v="1838 Cargo"/>
    <m/>
    <s v="İntercooler hortumu değişti._x000a_Dorse kaplin hortumu yapıldı."/>
    <n v="1050"/>
    <n v="1050"/>
    <n v="0"/>
    <x v="180"/>
    <x v="1"/>
  </r>
  <r>
    <x v="141"/>
    <s v="450 Volvo"/>
    <m/>
    <s v="Motor yağ ayırıcı tamiri yapıldı."/>
    <n v="1400"/>
    <n v="1400"/>
    <n v="0"/>
    <x v="180"/>
    <x v="1"/>
  </r>
  <r>
    <x v="1"/>
    <s v="3230 Cargo"/>
    <m/>
    <s v="Enjektörler değişti._x000a_Silindir kapağı değişti_x000a_4. göz piston değişti."/>
    <n v="31000"/>
    <n v="31000"/>
    <n v="0"/>
    <x v="181"/>
    <x v="1"/>
  </r>
  <r>
    <x v="12"/>
    <s v="3228 Axor "/>
    <m/>
    <s v="Geri dönüş hortumu değişti."/>
    <n v="400"/>
    <n v="400"/>
    <n v="0"/>
    <x v="182"/>
    <x v="1"/>
  </r>
  <r>
    <x v="92"/>
    <s v="3238 Cargo"/>
    <m/>
    <s v="Turbo değişti."/>
    <n v="3500"/>
    <n v="3500"/>
    <n v="0"/>
    <x v="182"/>
    <x v="1"/>
  </r>
  <r>
    <x v="87"/>
    <s v="2532 Cargo"/>
    <m/>
    <s v="Gergi ve kayış değişti."/>
    <m/>
    <m/>
    <n v="0"/>
    <x v="183"/>
    <x v="1"/>
  </r>
  <r>
    <x v="20"/>
    <s v="1838 Cargo"/>
    <m/>
    <s v="Radyatör yıkandı."/>
    <n v="4000"/>
    <n v="4000"/>
    <n v="0"/>
    <x v="184"/>
    <x v="1"/>
  </r>
  <r>
    <x v="109"/>
    <s v="3232 Cargo"/>
    <m/>
    <s v="Yola gidildi._x000a_Radyatör ve intercooler yıkandı."/>
    <n v="3500"/>
    <n v="3500"/>
    <n v="0"/>
    <x v="184"/>
    <x v="1"/>
  </r>
  <r>
    <x v="12"/>
    <s v="3228 Axor"/>
    <m/>
    <s v="Yağ bakımı yapıldı._x000a_Dingil kaldırma körüğü değişti."/>
    <n v="3000"/>
    <n v="0"/>
    <n v="3000"/>
    <x v="185"/>
    <x v="1"/>
  </r>
  <r>
    <x v="1"/>
    <s v="3230 Cargo"/>
    <m/>
    <s v="Direksiyon hortumları değişti."/>
    <n v="1000"/>
    <n v="1000"/>
    <n v="0"/>
    <x v="185"/>
    <x v="1"/>
  </r>
  <r>
    <x v="0"/>
    <s v="2530 Cargo"/>
    <s v="16 U 3653"/>
    <s v="Uzun rot değişti._x000a_Baskı balata değişimi."/>
    <n v="12500"/>
    <n v="0"/>
    <n v="12500"/>
    <x v="185"/>
    <x v="1"/>
  </r>
  <r>
    <x v="11"/>
    <s v="3236 Cargo"/>
    <m/>
    <s v="Yağ bakımı yapıldı."/>
    <n v="2000"/>
    <n v="2000"/>
    <n v="0"/>
    <x v="185"/>
    <x v="1"/>
  </r>
  <r>
    <x v="56"/>
    <s v="3229 Axor"/>
    <m/>
    <s v="Sağ sol dingil disk ve balataları değişti."/>
    <n v="5000"/>
    <n v="0"/>
    <n v="5000"/>
    <x v="185"/>
    <x v="1"/>
  </r>
  <r>
    <x v="25"/>
    <s v="3232 Cargo"/>
    <m/>
    <s v="Deve boynu değişti.(Yol)_x000a_3750 parça"/>
    <n v="6750"/>
    <n v="0"/>
    <n v="6750"/>
    <x v="186"/>
    <x v="1"/>
  </r>
  <r>
    <x v="56"/>
    <s v="3229 Axor"/>
    <m/>
    <s v="Sağ çeker kaliper tamiri yapıldı. "/>
    <n v="3500"/>
    <n v="0"/>
    <n v="3500"/>
    <x v="187"/>
    <x v="1"/>
  </r>
  <r>
    <x v="0"/>
    <s v="2530 Cargo"/>
    <m/>
    <s v="Debriyaj üst merkezi değişti.(Yol)"/>
    <n v="1000"/>
    <n v="0"/>
    <n v="1000"/>
    <x v="187"/>
    <x v="1"/>
  </r>
  <r>
    <x v="102"/>
    <s v="3230 Cargo"/>
    <m/>
    <s v="Kule cıvataları ve contası değişti."/>
    <n v="1300"/>
    <n v="1300"/>
    <n v="0"/>
    <x v="187"/>
    <x v="1"/>
  </r>
  <r>
    <x v="101"/>
    <s v="3228 Axor"/>
    <s v="34 BU 8267"/>
    <s v="Turbo dirsek hortumu değişti."/>
    <n v="500"/>
    <n v="0"/>
    <n v="500"/>
    <x v="187"/>
    <x v="1"/>
  </r>
  <r>
    <x v="126"/>
    <s v="1835 Axor"/>
    <m/>
    <s v="Kompresör değişti.(yol)"/>
    <n v="2500"/>
    <n v="0"/>
    <n v="2500"/>
    <x v="187"/>
    <x v="1"/>
  </r>
  <r>
    <x v="33"/>
    <s v="522 Pro(Eski)"/>
    <m/>
    <s v="Enjektör ve pompa değişti."/>
    <n v="7500"/>
    <n v="7500"/>
    <n v="0"/>
    <x v="188"/>
    <x v="1"/>
  </r>
  <r>
    <x v="101"/>
    <s v="3228 Axor"/>
    <m/>
    <s v="Ventil değişimi yapıldı."/>
    <n v="500"/>
    <n v="0"/>
    <n v="500"/>
    <x v="189"/>
    <x v="1"/>
  </r>
  <r>
    <x v="9"/>
    <s v="3232 Cargo"/>
    <m/>
    <s v="Çeker bijonları değişti."/>
    <n v="1500"/>
    <n v="1500"/>
    <n v="0"/>
    <x v="189"/>
    <x v="1"/>
  </r>
  <r>
    <x v="21"/>
    <s v="620 Pro"/>
    <m/>
    <s v="Şanzıman işçiliği yapıldı.(Plate verildi.)"/>
    <n v="16500"/>
    <n v="16500"/>
    <n v="0"/>
    <x v="189"/>
    <x v="1"/>
  </r>
  <r>
    <x v="142"/>
    <s v="620 Pro"/>
    <m/>
    <s v="Motor işçiliği yapıldı.(Piston kolu verildi.)"/>
    <n v="60000"/>
    <n v="60000"/>
    <n v="0"/>
    <x v="190"/>
    <x v="0"/>
  </r>
  <r>
    <x v="143"/>
    <s v="Hino"/>
    <m/>
    <s v="Kompresör kapağı değişti.(Yol)"/>
    <n v="5000"/>
    <n v="5000"/>
    <n v="0"/>
    <x v="190"/>
    <x v="1"/>
  </r>
  <r>
    <x v="138"/>
    <s v="3232 Cargo"/>
    <m/>
    <s v="Hava basınç müşuru değişti.(Yol)"/>
    <n v="1500"/>
    <n v="1500"/>
    <n v="0"/>
    <x v="191"/>
    <x v="1"/>
  </r>
  <r>
    <x v="143"/>
    <s v="Hino"/>
    <m/>
    <s v="Motor kulak cıvataları değişti."/>
    <n v="1000"/>
    <n v="1000"/>
    <n v="0"/>
    <x v="192"/>
    <x v="1"/>
  </r>
  <r>
    <x v="95"/>
    <s v="1844 Axor"/>
    <m/>
    <s v="Yağ bakımı yapıldı._x000a_2 lt diferansiyel yağı eklendi."/>
    <n v="2350"/>
    <n v="2350"/>
    <n v="0"/>
    <x v="192"/>
    <x v="0"/>
  </r>
  <r>
    <x v="12"/>
    <s v="32228 Axor"/>
    <m/>
    <s v="Şaft orta askısı değişti.  "/>
    <n v="2500"/>
    <n v="0"/>
    <n v="2500"/>
    <x v="192"/>
    <x v="1"/>
  </r>
  <r>
    <x v="144"/>
    <n v="950"/>
    <m/>
    <s v="Rot başları değişti._x000a_Çabuk tahliye değişti."/>
    <n v="3500"/>
    <n v="0"/>
    <n v="3500"/>
    <x v="193"/>
    <x v="1"/>
  </r>
  <r>
    <x v="45"/>
    <s v="3232 Cargo"/>
    <m/>
    <s v="Şanzıman yağı değişti._x000a_Yağ çubuğu değişti._x000a_V kayışı değişti."/>
    <n v="1500"/>
    <n v="1500"/>
    <n v="0"/>
    <x v="193"/>
    <x v="1"/>
  </r>
  <r>
    <x v="33"/>
    <s v="522 Pro(Yeni)"/>
    <s v="16  BUD 158"/>
    <s v="Vites kolu demiri tamiri yapıldı."/>
    <n v="2000"/>
    <n v="2000"/>
    <n v="0"/>
    <x v="194"/>
    <x v="3"/>
  </r>
  <r>
    <x v="51"/>
    <s v="3230 Cargo"/>
    <m/>
    <s v="Enjektörler değişti._x000a_Gergi makarası ve kayış değişti._x000a_Kompresör su borusu ve su filtresi değişti._x000a_Orta askı değişti."/>
    <n v="10500"/>
    <n v="0"/>
    <n v="10500"/>
    <x v="194"/>
    <x v="1"/>
  </r>
  <r>
    <x v="75"/>
    <s v="3232 Cargo"/>
    <m/>
    <s v="Gergi makarası değişti.(Sadece parça ücreti)"/>
    <n v="2000"/>
    <n v="0"/>
    <n v="2000"/>
    <x v="194"/>
    <x v="1"/>
  </r>
  <r>
    <x v="5"/>
    <s v="3238 Axor"/>
    <s v="16 ANK 666"/>
    <s v="Karter değişti."/>
    <n v="2500"/>
    <n v="2500"/>
    <n v="0"/>
    <x v="194"/>
    <x v="1"/>
  </r>
  <r>
    <x v="1"/>
    <s v="3230 Cargo"/>
    <m/>
    <s v="Direksiyon borusu değişti.(Yol)"/>
    <n v="1750"/>
    <n v="1750"/>
    <n v="0"/>
    <x v="194"/>
    <x v="1"/>
  </r>
  <r>
    <x v="17"/>
    <s v="3229 Axor"/>
    <s v="16 BFM 727"/>
    <s v="Dingil kaldırma körüğü değişti."/>
    <n v="1000"/>
    <n v="0"/>
    <n v="1000"/>
    <x v="195"/>
    <x v="1"/>
  </r>
  <r>
    <x v="5"/>
    <s v="3229 Axor"/>
    <s v="16 ARA 971"/>
    <s v="Silindir kapak contası değişti._x000a_Çeker disk ve balatalar değişti."/>
    <n v="21000"/>
    <n v="0"/>
    <n v="21000"/>
    <x v="196"/>
    <x v="1"/>
  </r>
  <r>
    <x v="145"/>
    <s v="827 Pro"/>
    <m/>
    <s v="Motor işçiliği yapıldı._x000a_Kompresör satıldı."/>
    <n v="90000"/>
    <n v="90000"/>
    <n v="0"/>
    <x v="196"/>
    <x v="0"/>
  </r>
  <r>
    <x v="5"/>
    <s v="3229 Axor"/>
    <s v="16 ARA 971"/>
    <s v="Fren körüğü tamiri yapıldı."/>
    <n v="1000"/>
    <n v="0"/>
    <n v="1000"/>
    <x v="197"/>
    <x v="1"/>
  </r>
  <r>
    <x v="126"/>
    <s v="1835 Axor"/>
    <m/>
    <s v="Tahliye ve dörtlü dağıtıcı değişti.(Yol)"/>
    <n v="2500"/>
    <n v="0"/>
    <n v="2500"/>
    <x v="197"/>
    <x v="1"/>
  </r>
  <r>
    <x v="51"/>
    <s v="3228 Axor"/>
    <m/>
    <s v="Direksiyon yağ kutusu değişti._x000a_Turbo dirsek hortumu değişti."/>
    <n v="3000"/>
    <n v="0"/>
    <n v="3000"/>
    <x v="197"/>
    <x v="1"/>
  </r>
  <r>
    <x v="135"/>
    <s v="3229 Axor"/>
    <m/>
    <s v="Debriyaj hortumu değişti.(Yol) "/>
    <n v="1500"/>
    <n v="1500"/>
    <n v="0"/>
    <x v="198"/>
    <x v="1"/>
  </r>
  <r>
    <x v="87"/>
    <s v="2532 Cargo"/>
    <m/>
    <s v="Tahliye değişti."/>
    <n v="2500"/>
    <n v="0"/>
    <n v="2500"/>
    <x v="198"/>
    <x v="1"/>
  </r>
  <r>
    <x v="138"/>
    <s v="3232 Cargo"/>
    <m/>
    <s v="Sibop ayarı yapıldı._x000a_Kompresör hortumu değişti._x000a_Bijonlar değişti."/>
    <n v="3500"/>
    <n v="3500"/>
    <n v="0"/>
    <x v="198"/>
    <x v="1"/>
  </r>
  <r>
    <x v="56"/>
    <s v="3229 Axor"/>
    <m/>
    <s v="Çeker balataları değişti."/>
    <n v="4000"/>
    <n v="0"/>
    <n v="4000"/>
    <x v="198"/>
    <x v="1"/>
  </r>
  <r>
    <x v="146"/>
    <s v="3228 Axor "/>
    <m/>
    <s v="Teker bijonları değişti."/>
    <n v="2000"/>
    <n v="0"/>
    <n v="2000"/>
    <x v="198"/>
    <x v="1"/>
  </r>
  <r>
    <x v="126"/>
    <s v="1835 Axor"/>
    <m/>
    <s v="Tahliye değişti.(Yol)"/>
    <n v="2500"/>
    <n v="0"/>
    <n v="2500"/>
    <x v="199"/>
    <x v="1"/>
  </r>
  <r>
    <x v="126"/>
    <s v="1835 Axor"/>
    <m/>
    <s v="Kompresör değişti._x000a_Alt merkez tamiri yapıldı._x000a_Kompresör borusu değişti."/>
    <n v="2500"/>
    <n v="0"/>
    <n v="2500"/>
    <x v="200"/>
    <x v="1"/>
  </r>
  <r>
    <x v="147"/>
    <s v="1840 Axor"/>
    <m/>
    <s v="Diferansiyel işçiliği yapıldı."/>
    <m/>
    <m/>
    <n v="0"/>
    <x v="201"/>
    <x v="1"/>
  </r>
  <r>
    <x v="44"/>
    <s v="Dev Fatih"/>
    <m/>
    <s v="Bijon ve kampana değişti."/>
    <m/>
    <m/>
    <n v="0"/>
    <x v="202"/>
    <x v="1"/>
  </r>
  <r>
    <x v="64"/>
    <s v="3230 Cargo"/>
    <s v="16 JCL 07"/>
    <s v="Tazyik sibobu ve basınç müşuru değişti."/>
    <n v="1000"/>
    <n v="1000"/>
    <n v="0"/>
    <x v="203"/>
    <x v="1"/>
  </r>
  <r>
    <x v="143"/>
    <s v="Hino"/>
    <m/>
    <s v="Çeker teker işçiliği."/>
    <n v="1500"/>
    <n v="1500"/>
    <n v="0"/>
    <x v="203"/>
    <x v="1"/>
  </r>
  <r>
    <x v="5"/>
    <s v="3228 Axor"/>
    <s v="77 BB 981"/>
    <s v="Cer pulu değişti."/>
    <n v="1500"/>
    <n v="0"/>
    <n v="1500"/>
    <x v="203"/>
    <x v="1"/>
  </r>
  <r>
    <x v="33"/>
    <s v="522 Pro(Eski)"/>
    <m/>
    <s v="Debriyaj alt merkezi değişti.(Yol)_x000a_Debriyaj çatal kolu değişti."/>
    <n v="8000"/>
    <n v="8000"/>
    <n v="0"/>
    <x v="203"/>
    <x v="0"/>
  </r>
  <r>
    <x v="56"/>
    <s v="3229 Axor"/>
    <m/>
    <s v="Yağ bakımı yapıldı._x000a_Sibop ayarı yapıldı."/>
    <n v="3000"/>
    <n v="3000"/>
    <n v="0"/>
    <x v="204"/>
    <x v="1"/>
  </r>
  <r>
    <x v="5"/>
    <s v="3228 Axor"/>
    <s v="16 AUL 029"/>
    <s v="Orta askı değişti. "/>
    <n v="2500"/>
    <n v="0"/>
    <n v="2500"/>
    <x v="205"/>
    <x v="1"/>
  </r>
  <r>
    <x v="67"/>
    <s v="Super 900"/>
    <s v="08 K 0290"/>
    <s v="Direksiyon mafsalı değişti._x000a_Gaz teli değişti."/>
    <m/>
    <m/>
    <n v="0"/>
    <x v="205"/>
    <x v="1"/>
  </r>
  <r>
    <x v="64"/>
    <s v="3230 Cargo"/>
    <s v="16 JCL 07"/>
    <s v="Baskı balata değişimi yapıldı. "/>
    <m/>
    <m/>
    <n v="0"/>
    <x v="205"/>
    <x v="1"/>
  </r>
  <r>
    <x v="148"/>
    <s v="Hino"/>
    <m/>
    <s v="Körük lastiği değişti."/>
    <n v="800"/>
    <n v="800"/>
    <n v="0"/>
    <x v="205"/>
    <x v="1"/>
  </r>
  <r>
    <x v="101"/>
    <s v="3229 Axor"/>
    <s v="16 BFM 727"/>
    <s v="Manifolt cıvataları değişti._x000a_Turbo emiş hortumu değişti._x000a_Radyatör ve intercooler yıkandı."/>
    <n v="7000"/>
    <n v="0"/>
    <n v="7000"/>
    <x v="206"/>
    <x v="1"/>
  </r>
  <r>
    <x v="40"/>
    <s v="3229 Axor"/>
    <s v="16 BOY 078"/>
    <s v="Yağ bakımı yapıldı."/>
    <n v="2000"/>
    <n v="0"/>
    <n v="2000"/>
    <x v="206"/>
    <x v="1"/>
  </r>
  <r>
    <x v="30"/>
    <s v="1840 Axor"/>
    <m/>
    <s v="Yağ bakımı yapıldı._x000a_Radyatör temizlendi._x000a_İntercooler değişti._x000a_7500 radyatörcü ücreti."/>
    <m/>
    <m/>
    <n v="0"/>
    <x v="207"/>
    <x v="1"/>
  </r>
  <r>
    <x v="149"/>
    <s v="4136 Cargo"/>
    <m/>
    <s v="Motor yapıldı."/>
    <n v="35000"/>
    <m/>
    <n v="35000"/>
    <x v="206"/>
    <x v="1"/>
  </r>
  <r>
    <x v="5"/>
    <s v="3229 Axor"/>
    <s v="16 ARA 971"/>
    <s v="Baskı balata değişimi yapıldı. "/>
    <n v="10000"/>
    <n v="0"/>
    <n v="10000"/>
    <x v="208"/>
    <x v="1"/>
  </r>
  <r>
    <x v="34"/>
    <s v="827 Pro"/>
    <m/>
    <s v="Cer takıldı.(Yol)"/>
    <m/>
    <m/>
    <n v="0"/>
    <x v="208"/>
    <x v="1"/>
  </r>
  <r>
    <x v="30"/>
    <s v="3232 Cargo"/>
    <m/>
    <s v="Direksiyon borusu değişti._x000a_Antifriz değişti."/>
    <m/>
    <m/>
    <n v="0"/>
    <x v="208"/>
    <x v="1"/>
  </r>
  <r>
    <x v="4"/>
    <s v="3240 Axor"/>
    <m/>
    <s v="Kampana değişti._x000a_10 adet bijon değişti."/>
    <n v="2000"/>
    <n v="0"/>
    <n v="2000"/>
    <x v="208"/>
    <x v="1"/>
  </r>
  <r>
    <x v="5"/>
    <s v="3228 Axor"/>
    <s v="16 AUL 029"/>
    <s v="Baskı balata değişimi yapıldı.(Yol)"/>
    <n v="15000"/>
    <n v="0"/>
    <n v="15000"/>
    <x v="209"/>
    <x v="1"/>
  </r>
  <r>
    <x v="80"/>
    <s v="1838 Cargo"/>
    <m/>
    <s v="Yağ bakımı yapıldı."/>
    <n v="1500"/>
    <n v="1500"/>
    <n v="0"/>
    <x v="209"/>
    <x v="1"/>
  </r>
  <r>
    <x v="132"/>
    <s v="3228 Axor"/>
    <m/>
    <s v="Kompresör borusu değişti."/>
    <m/>
    <m/>
    <n v="0"/>
    <x v="209"/>
    <x v="1"/>
  </r>
  <r>
    <x v="33"/>
    <s v="522 Pro(Yeni)"/>
    <s v="16 BUD 158"/>
    <s v="Radyatör değişti."/>
    <n v="4000"/>
    <n v="4000"/>
    <n v="0"/>
    <x v="209"/>
    <x v="1"/>
  </r>
  <r>
    <x v="1"/>
    <s v="3228 Axor"/>
    <m/>
    <s v="Dingil basma körüğü değişti._x000a_Direksiyon keçesi değişti._x000a_Fren hortumu değişti."/>
    <n v="2750"/>
    <n v="2750"/>
    <n v="0"/>
    <x v="210"/>
    <x v="1"/>
  </r>
  <r>
    <x v="17"/>
    <s v="3229 Axor"/>
    <s v="16 BFM 727"/>
    <s v="Şanzıman işçiliği yapıldı."/>
    <n v="15000"/>
    <n v="0"/>
    <n v="15000"/>
    <x v="210"/>
    <x v="1"/>
  </r>
  <r>
    <x v="33"/>
    <s v="522 Pro(Yeni)"/>
    <s v="16 BUD 158"/>
    <s v="Termostatlar değişti."/>
    <n v="1000"/>
    <n v="1000"/>
    <n v="0"/>
    <x v="210"/>
    <x v="1"/>
  </r>
  <r>
    <x v="87"/>
    <s v="Atego"/>
    <m/>
    <s v="Direksiyon kutusu değişti._x000a_Yağ bakımı yapıldı."/>
    <n v="10000"/>
    <n v="10000"/>
    <n v="0"/>
    <x v="211"/>
    <x v="1"/>
  </r>
  <r>
    <x v="64"/>
    <s v="3232 Cargo"/>
    <s v="34 HJP 300"/>
    <s v="Alt merkez değişti."/>
    <m/>
    <m/>
    <n v="0"/>
    <x v="211"/>
    <x v="1"/>
  </r>
  <r>
    <x v="5"/>
    <s v="3228 Axor"/>
    <s v="16 AUL 029"/>
    <s v="Manifolt cıvataları değişti._x000a_Röle ventili değişti."/>
    <n v="3500"/>
    <n v="0"/>
    <n v="3500"/>
    <x v="211"/>
    <x v="1"/>
  </r>
  <r>
    <x v="33"/>
    <s v="110 Fatih"/>
    <s v="16 BAL 55"/>
    <s v="Kovan değişti.  "/>
    <n v="15000"/>
    <n v="15000"/>
    <n v="0"/>
    <x v="212"/>
    <x v="1"/>
  </r>
  <r>
    <x v="64"/>
    <s v="3232 Cargo"/>
    <s v="34 HJP 300"/>
    <s v="Motor kulağı değişti._x000a_Kabin krikosu değişti."/>
    <n v="3500"/>
    <n v="0"/>
    <n v="3500"/>
    <x v="212"/>
    <x v="1"/>
  </r>
  <r>
    <x v="17"/>
    <s v="3228 Axor"/>
    <s v="34 LU 1996"/>
    <s v="Manifold cıvataları değişti."/>
    <n v="2500"/>
    <n v="0"/>
    <n v="2500"/>
    <x v="212"/>
    <x v="1"/>
  </r>
  <r>
    <x v="12"/>
    <s v="3028 Axor"/>
    <s v="16 LTN 43 "/>
    <s v="Dörtlü dağıtıcı değişti. "/>
    <m/>
    <m/>
    <n v="0"/>
    <x v="213"/>
    <x v="1"/>
  </r>
  <r>
    <x v="4"/>
    <n v="2521"/>
    <s v="16 ATM 81"/>
    <s v="Havalı alt merkez takıldı."/>
    <n v="5000"/>
    <n v="0"/>
    <n v="5000"/>
    <x v="213"/>
    <x v="1"/>
  </r>
  <r>
    <x v="69"/>
    <s v="827 Pro"/>
    <m/>
    <s v="Devirdaim değişti._x000a_Basma körüğü değişti."/>
    <n v="2000"/>
    <n v="600"/>
    <n v="1400"/>
    <x v="213"/>
    <x v="1"/>
  </r>
  <r>
    <x v="5"/>
    <s v="1840 Axor"/>
    <s v="16 BNK 118"/>
    <s v="Kabin amortisörleri değişti."/>
    <n v="1500"/>
    <n v="0"/>
    <n v="1500"/>
    <x v="213"/>
    <x v="1"/>
  </r>
  <r>
    <x v="98"/>
    <s v="4136 Cargo"/>
    <m/>
    <s v="Direksiyon borusu değişti._x000a_Bijonlar değişti."/>
    <n v="3750"/>
    <n v="750"/>
    <n v="3000"/>
    <x v="214"/>
    <x v="1"/>
  </r>
  <r>
    <x v="40"/>
    <s v="3229 Axor"/>
    <s v="16 BOY 080"/>
    <s v="Çeker ve dingil balataları değişti."/>
    <n v="6000"/>
    <n v="0"/>
    <n v="6000"/>
    <x v="215"/>
    <x v="1"/>
  </r>
  <r>
    <x v="5"/>
    <s v="Hino"/>
    <m/>
    <s v="Şanzıman işçiliği yapıldı."/>
    <n v="15000"/>
    <n v="0"/>
    <n v="15000"/>
    <x v="215"/>
    <x v="1"/>
  </r>
  <r>
    <x v="144"/>
    <n v="2521"/>
    <m/>
    <s v="Röle ventili değişti."/>
    <n v="1000"/>
    <n v="0"/>
    <n v="1000"/>
    <x v="216"/>
    <x v="1"/>
  </r>
  <r>
    <x v="146"/>
    <s v="3228 Axor"/>
    <s v="16 AYF 102"/>
    <s v="Radyatör ve intercooler temizlendi."/>
    <n v="4000"/>
    <n v="0"/>
    <n v="4000"/>
    <x v="216"/>
    <x v="1"/>
  </r>
  <r>
    <x v="17"/>
    <s v="3228 Axor"/>
    <m/>
    <s v="Balata ve bijon değişimi yapıldı.(bilinmeyen tarih)"/>
    <n v="5000"/>
    <n v="0"/>
    <n v="5000"/>
    <x v="217"/>
    <x v="1"/>
  </r>
  <r>
    <x v="150"/>
    <m/>
    <m/>
    <s v="Şanzıman işçiliği yapıldı.(Dişli verildi.)(Baskı veya balata verildi.)"/>
    <m/>
    <m/>
    <n v="0"/>
    <x v="217"/>
    <x v="0"/>
  </r>
  <r>
    <x v="101"/>
    <s v="3228 Axor"/>
    <s v="35 UK 308"/>
    <m/>
    <m/>
    <m/>
    <n v="0"/>
    <x v="218"/>
    <x v="1"/>
  </r>
  <r>
    <x v="111"/>
    <s v="3232 Cargo"/>
    <s v="16 AOE 597"/>
    <s v="Kompresör değişti."/>
    <n v="3000"/>
    <n v="3000"/>
    <n v="0"/>
    <x v="218"/>
    <x v="1"/>
  </r>
  <r>
    <x v="17"/>
    <s v="3228 Axor"/>
    <s v="34 BU 8267"/>
    <s v="Yağ bakımı yapıldı."/>
    <n v="2000"/>
    <n v="0"/>
    <n v="2000"/>
    <x v="219"/>
    <x v="1"/>
  </r>
  <r>
    <x v="109"/>
    <s v="3232 Cargo"/>
    <s v="46 AAC 799"/>
    <s v="Yağ bakımı yapıldı."/>
    <n v="2000"/>
    <n v="0"/>
    <n v="2000"/>
    <x v="219"/>
    <x v="1"/>
  </r>
  <r>
    <x v="151"/>
    <s v="3228 Axor"/>
    <s v="16 LLF 12"/>
    <s v="Şanzıman işçiliği yapıldı. _x000a_Balatalar değişti._x000a_Yağ bakımı yapıldı._x000a_"/>
    <n v="40000"/>
    <n v="40000"/>
    <n v="0"/>
    <x v="219"/>
    <x v="0"/>
  </r>
  <r>
    <x v="152"/>
    <s v="3232 Cargo"/>
    <s v="65 BC 068"/>
    <s v="Enketör borusu değişti."/>
    <n v="500"/>
    <n v="500"/>
    <n v="0"/>
    <x v="219"/>
    <x v="1"/>
  </r>
  <r>
    <x v="135"/>
    <s v="3229 Axor"/>
    <s v="16 BJJ 033"/>
    <s v="Baskı balata değişti.(Yol)"/>
    <n v="12000"/>
    <n v="12000"/>
    <n v="0"/>
    <x v="220"/>
    <x v="1"/>
  </r>
  <r>
    <x v="30"/>
    <s v="1840 Axor"/>
    <s v="16 BOJ 82"/>
    <s v="Kompresör değişti._x000a_Kompresör emiş hortumları değişti."/>
    <m/>
    <m/>
    <n v="0"/>
    <x v="221"/>
    <x v="1"/>
  </r>
  <r>
    <x v="40"/>
    <s v="1840 Axor"/>
    <s v="16 BVK 776"/>
    <s v="Kaplinler değişti."/>
    <n v="1000"/>
    <n v="0"/>
    <n v="1000"/>
    <x v="222"/>
    <x v="1"/>
  </r>
  <r>
    <x v="9"/>
    <s v="3232 Cargo"/>
    <m/>
    <s v="Ön dingil bilyası değişti._x000a_Ön tabla değişti."/>
    <n v="3500"/>
    <n v="3500"/>
    <n v="0"/>
    <x v="223"/>
    <x v="1"/>
  </r>
  <r>
    <x v="153"/>
    <s v="2530 Cargo"/>
    <s v="16 LTL 58"/>
    <s v="Baskı balata değişti."/>
    <n v="10000"/>
    <n v="0"/>
    <n v="10000"/>
    <x v="224"/>
    <x v="1"/>
  </r>
  <r>
    <x v="5"/>
    <s v="Hino"/>
    <m/>
    <s v="4 teker balata değişti._x000a_1 teker keçe değişti."/>
    <m/>
    <m/>
    <n v="0"/>
    <x v="224"/>
    <x v="1"/>
  </r>
  <r>
    <x v="146"/>
    <s v="3228 Axor"/>
    <s v="16 APB 691"/>
    <s v="Ara merkez değişti. ***_x000a_"/>
    <m/>
    <m/>
    <n v="0"/>
    <x v="225"/>
    <x v="1"/>
  </r>
  <r>
    <x v="17"/>
    <s v="3228 Axor"/>
    <s v="35 UK 308"/>
    <s v="Turbo diyafranı değişti."/>
    <m/>
    <m/>
    <n v="0"/>
    <x v="226"/>
    <x v="1"/>
  </r>
  <r>
    <x v="17"/>
    <s v="3229 Axor"/>
    <s v="16 BFM 727"/>
    <s v="Kompresör değişti."/>
    <m/>
    <m/>
    <n v="0"/>
    <x v="226"/>
    <x v="1"/>
  </r>
  <r>
    <x v="64"/>
    <s v="3232 Cargo"/>
    <s v="34 HJP 300"/>
    <s v="Motor kulağı cıvataları değişti."/>
    <n v="2500"/>
    <n v="0"/>
    <n v="2500"/>
    <x v="226"/>
    <x v="1"/>
  </r>
  <r>
    <x v="30"/>
    <s v="3232 Cargo"/>
    <s v="34 BG 0882"/>
    <s v="Motor kulağı cıvataları değişti."/>
    <m/>
    <m/>
    <n v="0"/>
    <x v="226"/>
    <x v="1"/>
  </r>
  <r>
    <x v="5"/>
    <s v="3229 Axor"/>
    <s v="77 BB 981"/>
    <s v="Cer değişimi yapıldı."/>
    <m/>
    <m/>
    <n v="0"/>
    <x v="227"/>
    <x v="0"/>
  </r>
  <r>
    <x v="34"/>
    <s v="827 Pro"/>
    <m/>
    <s v="Diferansiyel verildi._x000a_Diferansiyel işçiliği yapıldı."/>
    <n v="50000"/>
    <n v="0"/>
    <n v="50000"/>
    <x v="227"/>
    <x v="0"/>
  </r>
  <r>
    <x v="1"/>
    <s v="3230 Cargo"/>
    <s v="16 KZ 810"/>
    <s v="Halat değişti.(Yol)"/>
    <m/>
    <m/>
    <n v="0"/>
    <x v="207"/>
    <x v="1"/>
  </r>
  <r>
    <x v="152"/>
    <s v="3232 Cargo"/>
    <s v="65 BC 068"/>
    <s v="Devirdaim değişti._x000a_Enjektör kalem oringi değişti."/>
    <n v="2000"/>
    <n v="2000"/>
    <n v="0"/>
    <x v="228"/>
    <x v="1"/>
  </r>
  <r>
    <x v="12"/>
    <s v="3029 Axor"/>
    <s v="16 LTN 43 "/>
    <s v="Vites rotilleri değişti."/>
    <n v="1000"/>
    <n v="0"/>
    <n v="1000"/>
    <x v="228"/>
    <x v="1"/>
  </r>
  <r>
    <x v="141"/>
    <s v="450 Volvo"/>
    <m/>
    <s v="Kısa ve uzun rot değişti."/>
    <m/>
    <m/>
    <n v="0"/>
    <x v="207"/>
    <x v="1"/>
  </r>
  <r>
    <x v="154"/>
    <s v="3232 Cargo "/>
    <s v="77 AD 257"/>
    <s v="Gergi ve kayış değişti.(Yol)"/>
    <n v="5000"/>
    <n v="5000"/>
    <n v="0"/>
    <x v="229"/>
    <x v="1"/>
  </r>
  <r>
    <x v="138"/>
    <s v="3232 Cargo"/>
    <s v="49 AV 521"/>
    <s v="Kurutucu değişti.(Yol)_x000a_Tahliye girişi temizlendi.(Yol)"/>
    <m/>
    <m/>
    <n v="0"/>
    <x v="229"/>
    <x v="1"/>
  </r>
  <r>
    <x v="141"/>
    <s v="450 Volvo"/>
    <m/>
    <s v="Diferansiyel söküldü."/>
    <m/>
    <m/>
    <n v="0"/>
    <x v="229"/>
    <x v="1"/>
  </r>
  <r>
    <x v="56"/>
    <s v="3229 Axor"/>
    <m/>
    <s v="Teker keçesi değişti."/>
    <n v="3000"/>
    <n v="0"/>
    <n v="3000"/>
    <x v="205"/>
    <x v="1"/>
  </r>
  <r>
    <x v="33"/>
    <s v="3228 Axor"/>
    <s v="16 BHK 590 "/>
    <s v="Yağ bakımı yapıldı."/>
    <n v="2000"/>
    <n v="0"/>
    <n v="2000"/>
    <x v="230"/>
    <x v="1"/>
  </r>
  <r>
    <x v="47"/>
    <m/>
    <m/>
    <m/>
    <m/>
    <m/>
    <n v="0"/>
    <x v="207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1931EC-2ABA-4ACC-B833-74D1E8CCF45B}" name="PivotTable2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28">
  <location ref="A1:B14" firstHeaderRow="1" firstDataRow="1" firstDataCol="1"/>
  <pivotFields count="12"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2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3"/>
        <item x="124"/>
        <item x="207"/>
        <item x="125"/>
        <item x="126"/>
        <item x="127"/>
        <item x="128"/>
        <item x="129"/>
        <item x="130"/>
        <item x="131"/>
        <item x="132"/>
        <item x="12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t="default"/>
      </items>
    </pivotField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5">
        <item sd="0" x="1"/>
        <item sd="0" x="2"/>
        <item x="0"/>
        <item x="3"/>
        <item t="default"/>
      </items>
    </pivotField>
  </pivotFields>
  <rowFields count="2">
    <field x="9"/>
    <field x="7"/>
  </rowFields>
  <rowItems count="13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Toplam Ücret " fld="4" baseField="0" baseItem="0"/>
  </dataFields>
  <chartFormats count="3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0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0" format="2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0" format="22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0" format="23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0" format="24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20" format="25">
      <pivotArea type="data" outline="0" fieldPosition="0">
        <references count="2">
          <reference field="4294967294" count="1" selected="0">
            <x v="0"/>
          </reference>
          <reference field="9" count="1" selected="0">
            <x v="12"/>
          </reference>
        </references>
      </pivotArea>
    </chartFormat>
    <chartFormat chart="17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7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7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7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7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7" format="15">
      <pivotArea type="data" outline="0" fieldPosition="0">
        <references count="2">
          <reference field="4294967294" count="1" selected="0">
            <x v="0"/>
          </reference>
          <reference field="9" count="1" selected="0">
            <x v="12"/>
          </reference>
        </references>
      </pivotArea>
    </chartFormat>
    <chartFormat chart="17" format="16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20" format="26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17" format="17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17" format="18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17" format="19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17" format="20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17" format="21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  <chartFormat chart="20" format="27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20" format="28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20" format="29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20" format="30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20" format="31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6DA183-6FD6-4737-A05B-AE610FBD44A5}" name="PivotTable4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21">
  <location ref="A1:B157" firstHeaderRow="1" firstDataRow="1" firstDataCol="1"/>
  <pivotFields count="12">
    <pivotField axis="axisRow" showAll="0" sumSubtotal="1">
      <items count="203">
        <item x="49"/>
        <item m="1" x="188"/>
        <item m="1" x="180"/>
        <item m="1" x="195"/>
        <item m="1" x="173"/>
        <item m="1" x="192"/>
        <item m="1" x="176"/>
        <item m="1" x="186"/>
        <item m="1" x="194"/>
        <item m="1" x="185"/>
        <item m="1" x="170"/>
        <item m="1" x="167"/>
        <item m="1" x="189"/>
        <item m="1" x="199"/>
        <item m="1" x="165"/>
        <item m="1" x="182"/>
        <item m="1" x="197"/>
        <item m="1" x="166"/>
        <item m="1" x="171"/>
        <item m="1" x="174"/>
        <item m="1" x="178"/>
        <item m="1" x="200"/>
        <item m="1" x="193"/>
        <item m="1" x="172"/>
        <item m="1" x="198"/>
        <item m="1" x="179"/>
        <item m="1" x="175"/>
        <item m="1" x="169"/>
        <item m="1" x="183"/>
        <item m="1" x="201"/>
        <item m="1" x="191"/>
        <item m="1" x="181"/>
        <item x="24"/>
        <item m="1" x="162"/>
        <item x="64"/>
        <item x="32"/>
        <item x="4"/>
        <item x="44"/>
        <item x="8"/>
        <item m="1" x="157"/>
        <item x="53"/>
        <item x="52"/>
        <item x="15"/>
        <item x="0"/>
        <item x="39"/>
        <item x="31"/>
        <item x="63"/>
        <item x="54"/>
        <item x="9"/>
        <item x="23"/>
        <item x="37"/>
        <item x="46"/>
        <item x="72"/>
        <item m="1" x="190"/>
        <item x="62"/>
        <item m="1" x="156"/>
        <item x="45"/>
        <item x="13"/>
        <item x="33"/>
        <item m="1" x="159"/>
        <item x="18"/>
        <item x="65"/>
        <item x="68"/>
        <item x="76"/>
        <item x="1"/>
        <item m="1" x="184"/>
        <item x="43"/>
        <item x="17"/>
        <item x="67"/>
        <item m="1" x="177"/>
        <item x="56"/>
        <item x="28"/>
        <item m="1" x="158"/>
        <item x="73"/>
        <item m="1" x="187"/>
        <item x="41"/>
        <item m="1" x="168"/>
        <item x="60"/>
        <item x="48"/>
        <item x="40"/>
        <item x="50"/>
        <item x="29"/>
        <item x="35"/>
        <item x="21"/>
        <item m="1" x="160"/>
        <item x="10"/>
        <item x="70"/>
        <item x="51"/>
        <item x="75"/>
        <item x="27"/>
        <item x="74"/>
        <item x="38"/>
        <item x="58"/>
        <item x="3"/>
        <item x="26"/>
        <item x="12"/>
        <item x="5"/>
        <item m="1" x="164"/>
        <item x="36"/>
        <item x="22"/>
        <item x="20"/>
        <item x="7"/>
        <item x="16"/>
        <item x="66"/>
        <item x="14"/>
        <item x="77"/>
        <item m="1" x="196"/>
        <item x="55"/>
        <item x="71"/>
        <item m="1" x="163"/>
        <item x="30"/>
        <item x="42"/>
        <item x="2"/>
        <item x="59"/>
        <item x="19"/>
        <item x="57"/>
        <item x="61"/>
        <item x="34"/>
        <item x="47"/>
        <item m="1" x="161"/>
        <item m="1" x="155"/>
        <item x="78"/>
        <item x="79"/>
        <item x="80"/>
        <item x="81"/>
        <item x="82"/>
        <item x="83"/>
        <item x="84"/>
        <item x="85"/>
        <item x="86"/>
        <item x="87"/>
        <item x="6"/>
        <item x="88"/>
        <item x="90"/>
        <item x="91"/>
        <item x="92"/>
        <item x="93"/>
        <item x="94"/>
        <item x="95"/>
        <item x="25"/>
        <item x="96"/>
        <item x="97"/>
        <item x="98"/>
        <item x="99"/>
        <item x="100"/>
        <item x="101"/>
        <item x="11"/>
        <item x="69"/>
        <item x="102"/>
        <item x="103"/>
        <item x="104"/>
        <item x="105"/>
        <item x="107"/>
        <item x="108"/>
        <item x="109"/>
        <item x="110"/>
        <item x="111"/>
        <item x="89"/>
        <item x="106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sum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2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3"/>
        <item x="124"/>
        <item x="207"/>
        <item x="125"/>
        <item x="126"/>
        <item x="127"/>
        <item x="128"/>
        <item x="129"/>
        <item x="130"/>
        <item x="131"/>
        <item x="132"/>
        <item x="12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2"/>
        <item x="0"/>
        <item x="3"/>
        <item t="default"/>
      </items>
    </pivotField>
  </pivotFields>
  <rowFields count="1">
    <field x="0"/>
  </rowFields>
  <rowItems count="156">
    <i>
      <x/>
    </i>
    <i>
      <x v="32"/>
    </i>
    <i>
      <x v="34"/>
    </i>
    <i>
      <x v="35"/>
    </i>
    <i>
      <x v="36"/>
    </i>
    <i>
      <x v="37"/>
    </i>
    <i>
      <x v="38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4"/>
    </i>
    <i>
      <x v="56"/>
    </i>
    <i>
      <x v="57"/>
    </i>
    <i>
      <x v="58"/>
    </i>
    <i>
      <x v="60"/>
    </i>
    <i>
      <x v="61"/>
    </i>
    <i>
      <x v="62"/>
    </i>
    <i>
      <x v="63"/>
    </i>
    <i>
      <x v="64"/>
    </i>
    <i>
      <x v="66"/>
    </i>
    <i>
      <x v="67"/>
    </i>
    <i>
      <x v="68"/>
    </i>
    <i>
      <x v="70"/>
    </i>
    <i>
      <x v="71"/>
    </i>
    <i>
      <x v="73"/>
    </i>
    <i>
      <x v="75"/>
    </i>
    <i>
      <x v="77"/>
    </i>
    <i>
      <x v="78"/>
    </i>
    <i>
      <x v="79"/>
    </i>
    <i>
      <x v="80"/>
    </i>
    <i>
      <x v="81"/>
    </i>
    <i>
      <x v="82"/>
    </i>
    <i>
      <x v="83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7"/>
    </i>
    <i>
      <x v="108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 t="grand">
      <x/>
    </i>
  </rowItems>
  <colItems count="1">
    <i/>
  </colItems>
  <dataFields count="1">
    <dataField name="Toplam  Kalan" fld="6" baseField="0" baseItem="0"/>
  </dataFields>
  <chartFormats count="1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C25040-AE1C-4292-A003-F3B9A99D7B5C}" name="PivotTable5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9">
  <location ref="A1:B157" firstHeaderRow="1" firstDataRow="1" firstDataCol="1"/>
  <pivotFields count="12">
    <pivotField axis="axisRow" showAll="0">
      <items count="203">
        <item x="49"/>
        <item m="1" x="188"/>
        <item m="1" x="180"/>
        <item m="1" x="195"/>
        <item m="1" x="173"/>
        <item m="1" x="192"/>
        <item m="1" x="176"/>
        <item m="1" x="186"/>
        <item m="1" x="194"/>
        <item m="1" x="185"/>
        <item m="1" x="170"/>
        <item m="1" x="167"/>
        <item m="1" x="189"/>
        <item m="1" x="199"/>
        <item m="1" x="165"/>
        <item m="1" x="182"/>
        <item m="1" x="197"/>
        <item m="1" x="166"/>
        <item m="1" x="171"/>
        <item m="1" x="174"/>
        <item m="1" x="178"/>
        <item m="1" x="200"/>
        <item m="1" x="193"/>
        <item m="1" x="172"/>
        <item m="1" x="198"/>
        <item m="1" x="179"/>
        <item m="1" x="175"/>
        <item m="1" x="169"/>
        <item m="1" x="183"/>
        <item m="1" x="201"/>
        <item m="1" x="191"/>
        <item m="1" x="181"/>
        <item x="24"/>
        <item m="1" x="162"/>
        <item x="64"/>
        <item x="32"/>
        <item x="4"/>
        <item x="44"/>
        <item x="8"/>
        <item m="1" x="157"/>
        <item x="53"/>
        <item x="52"/>
        <item x="15"/>
        <item x="0"/>
        <item x="39"/>
        <item x="31"/>
        <item x="63"/>
        <item x="54"/>
        <item x="9"/>
        <item x="23"/>
        <item x="37"/>
        <item x="46"/>
        <item x="72"/>
        <item m="1" x="190"/>
        <item x="62"/>
        <item m="1" x="156"/>
        <item x="45"/>
        <item x="13"/>
        <item x="33"/>
        <item m="1" x="159"/>
        <item x="18"/>
        <item x="65"/>
        <item x="68"/>
        <item x="76"/>
        <item x="1"/>
        <item m="1" x="184"/>
        <item x="43"/>
        <item x="17"/>
        <item x="67"/>
        <item m="1" x="177"/>
        <item x="56"/>
        <item x="28"/>
        <item m="1" x="158"/>
        <item x="73"/>
        <item m="1" x="187"/>
        <item x="41"/>
        <item m="1" x="168"/>
        <item x="60"/>
        <item x="48"/>
        <item x="40"/>
        <item x="50"/>
        <item x="29"/>
        <item x="35"/>
        <item x="21"/>
        <item m="1" x="160"/>
        <item x="10"/>
        <item x="70"/>
        <item x="51"/>
        <item x="75"/>
        <item x="27"/>
        <item x="74"/>
        <item x="38"/>
        <item x="58"/>
        <item x="3"/>
        <item x="26"/>
        <item x="12"/>
        <item x="5"/>
        <item m="1" x="164"/>
        <item x="36"/>
        <item x="22"/>
        <item x="20"/>
        <item x="7"/>
        <item x="16"/>
        <item x="66"/>
        <item x="14"/>
        <item x="77"/>
        <item m="1" x="196"/>
        <item x="55"/>
        <item x="71"/>
        <item m="1" x="163"/>
        <item x="30"/>
        <item x="42"/>
        <item x="2"/>
        <item x="59"/>
        <item x="19"/>
        <item x="57"/>
        <item x="61"/>
        <item x="34"/>
        <item x="47"/>
        <item m="1" x="161"/>
        <item m="1" x="155"/>
        <item x="78"/>
        <item x="79"/>
        <item x="80"/>
        <item x="81"/>
        <item x="82"/>
        <item x="83"/>
        <item x="84"/>
        <item x="85"/>
        <item x="86"/>
        <item x="87"/>
        <item x="6"/>
        <item x="88"/>
        <item x="90"/>
        <item x="91"/>
        <item x="92"/>
        <item x="93"/>
        <item x="94"/>
        <item x="95"/>
        <item x="25"/>
        <item x="96"/>
        <item x="97"/>
        <item x="98"/>
        <item x="99"/>
        <item x="100"/>
        <item x="101"/>
        <item x="11"/>
        <item x="69"/>
        <item x="102"/>
        <item x="103"/>
        <item x="104"/>
        <item x="105"/>
        <item x="107"/>
        <item x="108"/>
        <item x="109"/>
        <item x="110"/>
        <item x="111"/>
        <item x="89"/>
        <item x="106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2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3"/>
        <item x="124"/>
        <item x="207"/>
        <item x="125"/>
        <item x="126"/>
        <item x="127"/>
        <item x="128"/>
        <item x="129"/>
        <item x="130"/>
        <item x="131"/>
        <item x="132"/>
        <item x="12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2"/>
        <item x="0"/>
        <item x="3"/>
        <item t="default"/>
      </items>
    </pivotField>
  </pivotFields>
  <rowFields count="1">
    <field x="0"/>
  </rowFields>
  <rowItems count="156">
    <i>
      <x/>
    </i>
    <i>
      <x v="32"/>
    </i>
    <i>
      <x v="34"/>
    </i>
    <i>
      <x v="35"/>
    </i>
    <i>
      <x v="36"/>
    </i>
    <i>
      <x v="37"/>
    </i>
    <i>
      <x v="38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4"/>
    </i>
    <i>
      <x v="56"/>
    </i>
    <i>
      <x v="57"/>
    </i>
    <i>
      <x v="58"/>
    </i>
    <i>
      <x v="60"/>
    </i>
    <i>
      <x v="61"/>
    </i>
    <i>
      <x v="62"/>
    </i>
    <i>
      <x v="63"/>
    </i>
    <i>
      <x v="64"/>
    </i>
    <i>
      <x v="66"/>
    </i>
    <i>
      <x v="67"/>
    </i>
    <i>
      <x v="68"/>
    </i>
    <i>
      <x v="70"/>
    </i>
    <i>
      <x v="71"/>
    </i>
    <i>
      <x v="73"/>
    </i>
    <i>
      <x v="75"/>
    </i>
    <i>
      <x v="77"/>
    </i>
    <i>
      <x v="78"/>
    </i>
    <i>
      <x v="79"/>
    </i>
    <i>
      <x v="80"/>
    </i>
    <i>
      <x v="81"/>
    </i>
    <i>
      <x v="82"/>
    </i>
    <i>
      <x v="83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7"/>
    </i>
    <i>
      <x v="108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 t="grand">
      <x/>
    </i>
  </rowItems>
  <colItems count="1">
    <i/>
  </colItems>
  <dataFields count="1">
    <dataField name="Toplam Ücret 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0DF303-C2F0-4271-9120-37F7799B9969}" name="PivotTable10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5">
  <location ref="A1:B7" firstHeaderRow="1" firstDataRow="1" firstDataCol="1"/>
  <pivotFields count="12">
    <pivotField showAll="0"/>
    <pivotField showAll="0"/>
    <pivotField showAll="0"/>
    <pivotField showAll="0"/>
    <pivotField dataField="1" showAll="0"/>
    <pivotField showAll="0"/>
    <pivotField showAll="0"/>
    <pivotField numFmtId="14" showAll="0">
      <items count="2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3"/>
        <item x="124"/>
        <item x="207"/>
        <item x="125"/>
        <item x="126"/>
        <item x="127"/>
        <item x="128"/>
        <item x="129"/>
        <item x="130"/>
        <item x="131"/>
        <item x="132"/>
        <item x="12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t="default"/>
      </items>
    </pivotField>
    <pivotField axis="axisRow" showAll="0">
      <items count="12">
        <item m="1" x="9"/>
        <item m="1" x="7"/>
        <item m="1" x="6"/>
        <item m="1" x="10"/>
        <item m="1" x="8"/>
        <item x="3"/>
        <item x="0"/>
        <item x="1"/>
        <item x="2"/>
        <item m="1" x="5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2"/>
        <item x="0"/>
        <item x="3"/>
        <item t="default"/>
      </items>
    </pivotField>
  </pivotFields>
  <rowFields count="1">
    <field x="8"/>
  </rowFields>
  <rowItems count="6">
    <i>
      <x v="5"/>
    </i>
    <i>
      <x v="6"/>
    </i>
    <i>
      <x v="7"/>
    </i>
    <i>
      <x v="8"/>
    </i>
    <i>
      <x v="10"/>
    </i>
    <i t="grand">
      <x/>
    </i>
  </rowItems>
  <colItems count="1">
    <i/>
  </colItems>
  <dataFields count="1">
    <dataField name="Toplam Ücret " fld="4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A75035-C41A-41CB-BB47-74605C15658B}" name="Akalin_Cari" displayName="Akalin_Cari" ref="A1:I688" totalsRowShown="0" headerRowDxfId="10" dataDxfId="9">
  <autoFilter ref="A1:I688" xr:uid="{4AA75035-C41A-41CB-BB47-74605C15658B}"/>
  <tableColumns count="9">
    <tableColumn id="1" xr3:uid="{4463522E-46D2-4BE5-871D-7EE906C432B3}" name="Müşteri" dataDxfId="8"/>
    <tableColumn id="2" xr3:uid="{B454076D-20FC-42DF-976B-30CFC2FFE643}" name="Marka/Model" dataDxfId="7"/>
    <tableColumn id="3" xr3:uid="{9AD32FEA-80DB-4E18-8111-90023F368A2C}" name="Plaka" dataDxfId="6"/>
    <tableColumn id="4" xr3:uid="{C7F72370-F5C9-4164-BB74-2B852A8F044D}" name="Yapılan İşlem" dataDxfId="5"/>
    <tableColumn id="5" xr3:uid="{FC1C02B8-AB6B-4766-87B8-0167DE709B3F}" name="Ücret " dataDxfId="4"/>
    <tableColumn id="6" xr3:uid="{EE93ED32-5BEA-491D-B397-5BDF4B275905}" name="Alınan" dataDxfId="3"/>
    <tableColumn id="7" xr3:uid="{495915AE-4415-4039-B902-6EE4C393963D}" name=" Kalan" dataDxfId="2">
      <calculatedColumnFormula>E2-F2</calculatedColumnFormula>
    </tableColumn>
    <tableColumn id="8" xr3:uid="{98FADA8E-24F6-4F39-BBC9-739212372C73}" name="Tarih" dataDxfId="1"/>
    <tableColumn id="9" xr3:uid="{EFAE8319-5D0F-4021-A07A-1F1BC811A3A3}" name="İş Tipi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8"/>
  <sheetViews>
    <sheetView tabSelected="1" topLeftCell="A496" workbookViewId="0">
      <selection activeCell="A511" sqref="A511"/>
    </sheetView>
  </sheetViews>
  <sheetFormatPr defaultRowHeight="14.4" x14ac:dyDescent="0.3"/>
  <cols>
    <col min="1" max="1" width="22.5546875" style="2" bestFit="1" customWidth="1"/>
    <col min="2" max="2" width="21.88671875" style="2" bestFit="1" customWidth="1"/>
    <col min="3" max="3" width="21.88671875" style="2" customWidth="1"/>
    <col min="4" max="4" width="63.109375" style="8" customWidth="1"/>
    <col min="5" max="5" width="8.88671875" style="2"/>
    <col min="6" max="6" width="9" style="2" customWidth="1"/>
    <col min="8" max="8" width="11" bestFit="1" customWidth="1"/>
    <col min="9" max="9" width="20.109375" customWidth="1"/>
  </cols>
  <sheetData>
    <row r="1" spans="1:9" s="1" customFormat="1" ht="15" customHeight="1" x14ac:dyDescent="0.3">
      <c r="A1" s="1" t="s">
        <v>2</v>
      </c>
      <c r="B1" s="1" t="s">
        <v>1</v>
      </c>
      <c r="C1" s="1" t="s">
        <v>11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0</v>
      </c>
      <c r="I1" s="1" t="s">
        <v>265</v>
      </c>
    </row>
    <row r="2" spans="1:9" s="2" customFormat="1" x14ac:dyDescent="0.3">
      <c r="A2" s="2" t="s">
        <v>8</v>
      </c>
      <c r="B2" s="2" t="s">
        <v>9</v>
      </c>
      <c r="D2" s="7"/>
      <c r="E2" s="2">
        <v>62400</v>
      </c>
      <c r="F2" s="2">
        <v>62400</v>
      </c>
      <c r="G2" s="2">
        <f>E2-F2</f>
        <v>0</v>
      </c>
      <c r="H2" s="3">
        <v>45628</v>
      </c>
      <c r="I2" s="2" t="s">
        <v>273</v>
      </c>
    </row>
    <row r="3" spans="1:9" s="2" customFormat="1" ht="28.8" x14ac:dyDescent="0.3">
      <c r="A3" s="2" t="s">
        <v>7</v>
      </c>
      <c r="B3" s="2" t="s">
        <v>9</v>
      </c>
      <c r="D3" s="5" t="s">
        <v>10</v>
      </c>
      <c r="E3" s="2">
        <v>17500</v>
      </c>
      <c r="F3" s="2">
        <v>17500</v>
      </c>
      <c r="G3" s="2">
        <f>E3-F3</f>
        <v>0</v>
      </c>
      <c r="H3" s="3">
        <v>45629</v>
      </c>
      <c r="I3" s="2" t="s">
        <v>273</v>
      </c>
    </row>
    <row r="4" spans="1:9" s="2" customFormat="1" ht="28.8" x14ac:dyDescent="0.3">
      <c r="A4" s="2" t="s">
        <v>7</v>
      </c>
      <c r="B4" s="2" t="s">
        <v>9</v>
      </c>
      <c r="D4" s="5" t="s">
        <v>12</v>
      </c>
      <c r="E4" s="2">
        <v>55000</v>
      </c>
      <c r="F4" s="2">
        <v>55000</v>
      </c>
      <c r="G4" s="2">
        <f t="shared" ref="G4:G65" si="0">E4-F4</f>
        <v>0</v>
      </c>
      <c r="H4" s="3">
        <v>45630</v>
      </c>
      <c r="I4" s="2" t="s">
        <v>272</v>
      </c>
    </row>
    <row r="5" spans="1:9" s="2" customFormat="1" x14ac:dyDescent="0.3">
      <c r="A5" s="2" t="s">
        <v>13</v>
      </c>
      <c r="B5" s="2" t="s">
        <v>14</v>
      </c>
      <c r="D5" s="7" t="s">
        <v>15</v>
      </c>
      <c r="E5" s="2">
        <v>27000</v>
      </c>
      <c r="F5" s="2">
        <v>27000</v>
      </c>
      <c r="G5" s="2">
        <f t="shared" si="0"/>
        <v>0</v>
      </c>
      <c r="H5" s="3">
        <v>45631</v>
      </c>
      <c r="I5" s="2" t="s">
        <v>272</v>
      </c>
    </row>
    <row r="6" spans="1:9" s="2" customFormat="1" x14ac:dyDescent="0.3">
      <c r="A6" s="2" t="s">
        <v>16</v>
      </c>
      <c r="B6" s="2" t="s">
        <v>17</v>
      </c>
      <c r="D6" s="6" t="s">
        <v>18</v>
      </c>
      <c r="E6" s="2">
        <v>15000</v>
      </c>
      <c r="F6" s="2">
        <v>15000</v>
      </c>
      <c r="G6" s="2">
        <f t="shared" si="0"/>
        <v>0</v>
      </c>
      <c r="H6" s="3">
        <v>45632</v>
      </c>
      <c r="I6" s="2" t="s">
        <v>272</v>
      </c>
    </row>
    <row r="7" spans="1:9" s="2" customFormat="1" x14ac:dyDescent="0.3">
      <c r="A7" s="2" t="s">
        <v>20</v>
      </c>
      <c r="B7" s="2" t="s">
        <v>19</v>
      </c>
      <c r="D7" s="7" t="s">
        <v>48</v>
      </c>
      <c r="E7" s="2">
        <v>15000</v>
      </c>
      <c r="F7" s="2">
        <v>15000</v>
      </c>
      <c r="G7" s="2">
        <f t="shared" si="0"/>
        <v>0</v>
      </c>
      <c r="H7" s="3">
        <v>45633</v>
      </c>
      <c r="I7" s="2" t="s">
        <v>272</v>
      </c>
    </row>
    <row r="8" spans="1:9" s="2" customFormat="1" x14ac:dyDescent="0.3">
      <c r="A8" s="2" t="s">
        <v>21</v>
      </c>
      <c r="B8" s="2" t="s">
        <v>19</v>
      </c>
      <c r="D8" s="7" t="s">
        <v>48</v>
      </c>
      <c r="E8" s="2">
        <v>8000</v>
      </c>
      <c r="F8" s="2">
        <v>8000</v>
      </c>
      <c r="G8" s="2">
        <f t="shared" si="0"/>
        <v>0</v>
      </c>
      <c r="H8" s="3">
        <v>45634</v>
      </c>
      <c r="I8" s="2" t="s">
        <v>272</v>
      </c>
    </row>
    <row r="9" spans="1:9" s="2" customFormat="1" ht="28.8" x14ac:dyDescent="0.3">
      <c r="A9" s="2" t="s">
        <v>21</v>
      </c>
      <c r="B9" s="2" t="s">
        <v>17</v>
      </c>
      <c r="D9" s="5" t="s">
        <v>23</v>
      </c>
      <c r="E9" s="2">
        <v>2500</v>
      </c>
      <c r="F9" s="2">
        <v>2500</v>
      </c>
      <c r="G9" s="2">
        <f t="shared" si="0"/>
        <v>0</v>
      </c>
      <c r="H9" s="3">
        <v>45635</v>
      </c>
      <c r="I9" s="2" t="s">
        <v>272</v>
      </c>
    </row>
    <row r="10" spans="1:9" s="2" customFormat="1" ht="28.8" x14ac:dyDescent="0.3">
      <c r="A10" s="2" t="s">
        <v>21</v>
      </c>
      <c r="B10" s="2" t="s">
        <v>19</v>
      </c>
      <c r="C10" s="2" t="s">
        <v>22</v>
      </c>
      <c r="D10" s="5" t="s">
        <v>24</v>
      </c>
      <c r="E10" s="2">
        <v>4500</v>
      </c>
      <c r="F10" s="2">
        <v>4500</v>
      </c>
      <c r="G10" s="2">
        <f t="shared" si="0"/>
        <v>0</v>
      </c>
      <c r="H10" s="3">
        <v>45636</v>
      </c>
      <c r="I10" s="2" t="s">
        <v>272</v>
      </c>
    </row>
    <row r="11" spans="1:9" s="2" customFormat="1" ht="28.8" x14ac:dyDescent="0.3">
      <c r="A11" s="2" t="s">
        <v>322</v>
      </c>
      <c r="B11" s="2" t="s">
        <v>25</v>
      </c>
      <c r="D11" s="5" t="s">
        <v>26</v>
      </c>
      <c r="E11" s="2">
        <v>4500</v>
      </c>
      <c r="F11" s="2">
        <v>4500</v>
      </c>
      <c r="G11" s="2">
        <f t="shared" si="0"/>
        <v>0</v>
      </c>
      <c r="H11" s="3">
        <v>45637</v>
      </c>
      <c r="I11" s="2" t="s">
        <v>272</v>
      </c>
    </row>
    <row r="12" spans="1:9" s="2" customFormat="1" ht="72" x14ac:dyDescent="0.3">
      <c r="A12" s="2" t="s">
        <v>322</v>
      </c>
      <c r="B12" s="2" t="s">
        <v>19</v>
      </c>
      <c r="D12" s="6" t="s">
        <v>27</v>
      </c>
      <c r="E12" s="2">
        <v>5500</v>
      </c>
      <c r="F12" s="2">
        <v>5500</v>
      </c>
      <c r="G12" s="2">
        <f t="shared" si="0"/>
        <v>0</v>
      </c>
      <c r="H12" s="3">
        <v>45638</v>
      </c>
      <c r="I12" s="2" t="s">
        <v>272</v>
      </c>
    </row>
    <row r="13" spans="1:9" s="2" customFormat="1" x14ac:dyDescent="0.3">
      <c r="A13" s="2" t="s">
        <v>28</v>
      </c>
      <c r="B13" s="2" t="s">
        <v>14</v>
      </c>
      <c r="D13" s="7" t="s">
        <v>48</v>
      </c>
      <c r="E13" s="2">
        <v>10000</v>
      </c>
      <c r="F13" s="2">
        <v>10000</v>
      </c>
      <c r="G13" s="2">
        <f t="shared" si="0"/>
        <v>0</v>
      </c>
      <c r="H13" s="3">
        <v>45639</v>
      </c>
      <c r="I13" s="2" t="s">
        <v>272</v>
      </c>
    </row>
    <row r="14" spans="1:9" s="2" customFormat="1" x14ac:dyDescent="0.3">
      <c r="A14" s="2" t="s">
        <v>29</v>
      </c>
      <c r="B14" s="2" t="s">
        <v>19</v>
      </c>
      <c r="D14" s="7" t="s">
        <v>48</v>
      </c>
      <c r="E14" s="2">
        <v>7500</v>
      </c>
      <c r="F14" s="2">
        <v>7500</v>
      </c>
      <c r="G14" s="2">
        <f t="shared" si="0"/>
        <v>0</v>
      </c>
      <c r="H14" s="3">
        <v>45640</v>
      </c>
      <c r="I14" s="2" t="s">
        <v>272</v>
      </c>
    </row>
    <row r="15" spans="1:9" s="2" customFormat="1" x14ac:dyDescent="0.3">
      <c r="A15" s="2" t="s">
        <v>31</v>
      </c>
      <c r="B15" s="2" t="s">
        <v>30</v>
      </c>
      <c r="D15" s="7" t="s">
        <v>32</v>
      </c>
      <c r="E15" s="2">
        <v>10000</v>
      </c>
      <c r="F15" s="2">
        <v>10000</v>
      </c>
      <c r="G15" s="2">
        <f t="shared" si="0"/>
        <v>0</v>
      </c>
      <c r="H15" s="3">
        <v>45641</v>
      </c>
      <c r="I15" s="2" t="s">
        <v>274</v>
      </c>
    </row>
    <row r="16" spans="1:9" s="2" customFormat="1" x14ac:dyDescent="0.3">
      <c r="A16" s="2" t="s">
        <v>33</v>
      </c>
      <c r="B16" s="2" t="s">
        <v>19</v>
      </c>
      <c r="D16" s="8" t="s">
        <v>34</v>
      </c>
      <c r="E16" s="2">
        <v>3500</v>
      </c>
      <c r="F16" s="2">
        <v>0</v>
      </c>
      <c r="G16" s="2">
        <f t="shared" si="0"/>
        <v>3500</v>
      </c>
      <c r="H16" s="3">
        <v>45642</v>
      </c>
      <c r="I16" s="2" t="s">
        <v>272</v>
      </c>
    </row>
    <row r="17" spans="1:9" s="2" customFormat="1" x14ac:dyDescent="0.3">
      <c r="A17" s="2" t="s">
        <v>397</v>
      </c>
      <c r="B17" s="2" t="s">
        <v>35</v>
      </c>
      <c r="C17" s="2" t="s">
        <v>398</v>
      </c>
      <c r="D17" s="7" t="s">
        <v>48</v>
      </c>
      <c r="E17" s="2">
        <v>1000</v>
      </c>
      <c r="F17" s="2">
        <v>1000</v>
      </c>
      <c r="G17" s="2">
        <f t="shared" si="0"/>
        <v>0</v>
      </c>
      <c r="H17" s="3">
        <v>45643</v>
      </c>
      <c r="I17" s="2" t="s">
        <v>272</v>
      </c>
    </row>
    <row r="18" spans="1:9" s="2" customFormat="1" x14ac:dyDescent="0.3">
      <c r="A18" s="2" t="s">
        <v>36</v>
      </c>
      <c r="B18" s="2" t="s">
        <v>19</v>
      </c>
      <c r="D18" s="7" t="s">
        <v>48</v>
      </c>
      <c r="E18" s="2">
        <v>7500</v>
      </c>
      <c r="F18" s="2">
        <v>7500</v>
      </c>
      <c r="G18" s="2">
        <f t="shared" si="0"/>
        <v>0</v>
      </c>
      <c r="H18" s="3">
        <v>45644</v>
      </c>
      <c r="I18" s="2" t="s">
        <v>272</v>
      </c>
    </row>
    <row r="19" spans="1:9" s="2" customFormat="1" ht="43.2" x14ac:dyDescent="0.3">
      <c r="A19" s="2" t="s">
        <v>38</v>
      </c>
      <c r="B19" s="2" t="s">
        <v>37</v>
      </c>
      <c r="D19" s="5" t="s">
        <v>39</v>
      </c>
      <c r="E19" s="2">
        <v>11000</v>
      </c>
      <c r="F19" s="2">
        <v>11000</v>
      </c>
      <c r="G19" s="2">
        <f t="shared" si="0"/>
        <v>0</v>
      </c>
      <c r="H19" s="3">
        <v>45645</v>
      </c>
      <c r="I19" s="2" t="s">
        <v>272</v>
      </c>
    </row>
    <row r="20" spans="1:9" s="2" customFormat="1" x14ac:dyDescent="0.3">
      <c r="A20" s="2" t="s">
        <v>41</v>
      </c>
      <c r="B20" s="2" t="s">
        <v>40</v>
      </c>
      <c r="D20" s="7"/>
      <c r="E20" s="2">
        <v>1000</v>
      </c>
      <c r="F20" s="2">
        <v>1000</v>
      </c>
      <c r="G20" s="2">
        <f t="shared" si="0"/>
        <v>0</v>
      </c>
      <c r="H20" s="3">
        <v>45646</v>
      </c>
      <c r="I20" s="2" t="s">
        <v>272</v>
      </c>
    </row>
    <row r="21" spans="1:9" s="2" customFormat="1" x14ac:dyDescent="0.3">
      <c r="A21" s="2" t="s">
        <v>42</v>
      </c>
      <c r="D21" s="7" t="s">
        <v>43</v>
      </c>
      <c r="E21" s="2">
        <v>5000</v>
      </c>
      <c r="F21" s="2">
        <v>5000</v>
      </c>
      <c r="G21" s="2">
        <f t="shared" si="0"/>
        <v>0</v>
      </c>
      <c r="H21" s="3">
        <v>45647</v>
      </c>
      <c r="I21" s="2" t="s">
        <v>274</v>
      </c>
    </row>
    <row r="22" spans="1:9" s="2" customFormat="1" x14ac:dyDescent="0.3">
      <c r="A22" s="2" t="s">
        <v>45</v>
      </c>
      <c r="B22" s="2" t="s">
        <v>44</v>
      </c>
      <c r="D22" s="7" t="s">
        <v>48</v>
      </c>
      <c r="E22" s="2">
        <v>1000</v>
      </c>
      <c r="F22" s="2">
        <v>1000</v>
      </c>
      <c r="G22" s="2">
        <f t="shared" si="0"/>
        <v>0</v>
      </c>
      <c r="H22" s="3">
        <v>45648</v>
      </c>
      <c r="I22" s="2" t="s">
        <v>272</v>
      </c>
    </row>
    <row r="23" spans="1:9" s="2" customFormat="1" x14ac:dyDescent="0.3">
      <c r="A23" s="2" t="s">
        <v>47</v>
      </c>
      <c r="B23" s="2" t="s">
        <v>46</v>
      </c>
      <c r="D23" s="7" t="s">
        <v>48</v>
      </c>
      <c r="E23" s="2">
        <v>27500</v>
      </c>
      <c r="F23" s="2">
        <v>27500</v>
      </c>
      <c r="G23" s="2">
        <f t="shared" si="0"/>
        <v>0</v>
      </c>
      <c r="H23" s="3">
        <v>45649</v>
      </c>
      <c r="I23" s="2" t="s">
        <v>272</v>
      </c>
    </row>
    <row r="24" spans="1:9" s="2" customFormat="1" ht="72" x14ac:dyDescent="0.3">
      <c r="A24" s="2" t="s">
        <v>20</v>
      </c>
      <c r="B24" s="2" t="s">
        <v>51</v>
      </c>
      <c r="D24" s="5" t="s">
        <v>52</v>
      </c>
      <c r="E24" s="2">
        <v>1500</v>
      </c>
      <c r="F24" s="2">
        <v>1500</v>
      </c>
      <c r="G24" s="2">
        <f t="shared" si="0"/>
        <v>0</v>
      </c>
      <c r="H24" s="3">
        <v>45650</v>
      </c>
      <c r="I24" s="2" t="s">
        <v>272</v>
      </c>
    </row>
    <row r="25" spans="1:9" s="2" customFormat="1" ht="28.8" x14ac:dyDescent="0.3">
      <c r="A25" s="2" t="s">
        <v>49</v>
      </c>
      <c r="B25" s="2" t="s">
        <v>14</v>
      </c>
      <c r="C25" s="2" t="s">
        <v>104</v>
      </c>
      <c r="D25" s="5" t="s">
        <v>53</v>
      </c>
      <c r="E25" s="2">
        <v>3000</v>
      </c>
      <c r="F25" s="2">
        <v>3000</v>
      </c>
      <c r="G25" s="2">
        <f t="shared" si="0"/>
        <v>0</v>
      </c>
      <c r="H25" s="3">
        <v>45650</v>
      </c>
      <c r="I25" s="2" t="s">
        <v>273</v>
      </c>
    </row>
    <row r="26" spans="1:9" s="2" customFormat="1" ht="28.8" x14ac:dyDescent="0.3">
      <c r="A26" s="2" t="s">
        <v>50</v>
      </c>
      <c r="B26" s="2" t="s">
        <v>9</v>
      </c>
      <c r="D26" s="6" t="s">
        <v>54</v>
      </c>
      <c r="E26" s="2">
        <v>1150</v>
      </c>
      <c r="F26" s="2">
        <v>1150</v>
      </c>
      <c r="G26" s="2">
        <f t="shared" si="0"/>
        <v>0</v>
      </c>
      <c r="H26" s="3">
        <v>45650</v>
      </c>
      <c r="I26" s="2" t="s">
        <v>273</v>
      </c>
    </row>
    <row r="27" spans="1:9" s="2" customFormat="1" ht="28.8" x14ac:dyDescent="0.3">
      <c r="A27" s="2" t="s">
        <v>7</v>
      </c>
      <c r="B27" s="2" t="s">
        <v>9</v>
      </c>
      <c r="D27" s="6" t="s">
        <v>55</v>
      </c>
      <c r="E27" s="2">
        <v>2250</v>
      </c>
      <c r="F27" s="2">
        <v>2250</v>
      </c>
      <c r="G27" s="2">
        <f t="shared" si="0"/>
        <v>0</v>
      </c>
      <c r="H27" s="3">
        <v>45650</v>
      </c>
      <c r="I27" s="2" t="s">
        <v>272</v>
      </c>
    </row>
    <row r="28" spans="1:9" s="2" customFormat="1" x14ac:dyDescent="0.3">
      <c r="A28" s="2" t="s">
        <v>56</v>
      </c>
      <c r="B28" s="2" t="s">
        <v>14</v>
      </c>
      <c r="D28" t="s">
        <v>60</v>
      </c>
      <c r="E28" s="2">
        <v>1400</v>
      </c>
      <c r="F28" s="2">
        <v>1400</v>
      </c>
      <c r="G28" s="2">
        <f t="shared" si="0"/>
        <v>0</v>
      </c>
      <c r="H28" s="3">
        <v>45651</v>
      </c>
      <c r="I28" s="2" t="s">
        <v>272</v>
      </c>
    </row>
    <row r="29" spans="1:9" s="2" customFormat="1" x14ac:dyDescent="0.3">
      <c r="A29" s="2" t="s">
        <v>57</v>
      </c>
      <c r="B29" s="2" t="s">
        <v>59</v>
      </c>
      <c r="D29" t="s">
        <v>61</v>
      </c>
      <c r="E29" s="2">
        <v>1000</v>
      </c>
      <c r="F29" s="2">
        <v>1000</v>
      </c>
      <c r="G29" s="2">
        <f t="shared" si="0"/>
        <v>0</v>
      </c>
      <c r="H29" s="3">
        <v>45651</v>
      </c>
      <c r="I29" s="2" t="s">
        <v>272</v>
      </c>
    </row>
    <row r="30" spans="1:9" s="2" customFormat="1" x14ac:dyDescent="0.3">
      <c r="A30" s="2" t="s">
        <v>58</v>
      </c>
      <c r="B30" s="2" t="s">
        <v>9</v>
      </c>
      <c r="C30" s="2" t="s">
        <v>374</v>
      </c>
      <c r="D30" t="s">
        <v>60</v>
      </c>
      <c r="E30" s="2">
        <v>1200</v>
      </c>
      <c r="F30" s="2">
        <v>1200</v>
      </c>
      <c r="G30" s="2">
        <f t="shared" si="0"/>
        <v>0</v>
      </c>
      <c r="H30" s="3">
        <v>45651</v>
      </c>
      <c r="I30" s="2" t="s">
        <v>272</v>
      </c>
    </row>
    <row r="31" spans="1:9" s="2" customFormat="1" ht="28.8" x14ac:dyDescent="0.3">
      <c r="A31" s="2" t="s">
        <v>13</v>
      </c>
      <c r="B31" s="2" t="s">
        <v>17</v>
      </c>
      <c r="C31" s="2" t="s">
        <v>62</v>
      </c>
      <c r="D31" s="5" t="s">
        <v>63</v>
      </c>
      <c r="E31" s="2">
        <v>1000</v>
      </c>
      <c r="F31" s="2">
        <v>1000</v>
      </c>
      <c r="G31" s="2">
        <f t="shared" si="0"/>
        <v>0</v>
      </c>
      <c r="H31" s="3">
        <v>45652</v>
      </c>
      <c r="I31" s="2" t="s">
        <v>272</v>
      </c>
    </row>
    <row r="32" spans="1:9" s="2" customFormat="1" ht="28.8" x14ac:dyDescent="0.3">
      <c r="A32" s="2" t="s">
        <v>64</v>
      </c>
      <c r="B32" s="2" t="s">
        <v>51</v>
      </c>
      <c r="D32" s="5" t="s">
        <v>65</v>
      </c>
      <c r="E32" s="2">
        <v>2500</v>
      </c>
      <c r="F32" s="2">
        <v>2500</v>
      </c>
      <c r="G32" s="2">
        <f t="shared" si="0"/>
        <v>0</v>
      </c>
      <c r="H32" s="3">
        <v>45653</v>
      </c>
      <c r="I32" s="2" t="s">
        <v>272</v>
      </c>
    </row>
    <row r="33" spans="1:9" s="2" customFormat="1" ht="100.95" customHeight="1" x14ac:dyDescent="0.3">
      <c r="A33" s="2" t="s">
        <v>7</v>
      </c>
      <c r="B33" s="2" t="s">
        <v>19</v>
      </c>
      <c r="D33" s="6" t="s">
        <v>66</v>
      </c>
      <c r="E33" s="2">
        <v>7000</v>
      </c>
      <c r="F33" s="2">
        <v>7000</v>
      </c>
      <c r="G33" s="2">
        <f t="shared" si="0"/>
        <v>0</v>
      </c>
      <c r="H33" s="3">
        <v>45653</v>
      </c>
      <c r="I33" s="2" t="s">
        <v>272</v>
      </c>
    </row>
    <row r="34" spans="1:9" s="2" customFormat="1" ht="28.8" x14ac:dyDescent="0.3">
      <c r="A34" s="2" t="s">
        <v>21</v>
      </c>
      <c r="B34" s="2" t="s">
        <v>30</v>
      </c>
      <c r="C34" s="2" t="s">
        <v>68</v>
      </c>
      <c r="D34" s="9" t="s">
        <v>69</v>
      </c>
      <c r="E34" s="2">
        <v>1500</v>
      </c>
      <c r="F34" s="2">
        <v>1500</v>
      </c>
      <c r="G34" s="2">
        <f t="shared" si="0"/>
        <v>0</v>
      </c>
      <c r="H34" s="3">
        <v>45654</v>
      </c>
      <c r="I34" s="2" t="s">
        <v>272</v>
      </c>
    </row>
    <row r="35" spans="1:9" s="2" customFormat="1" ht="43.2" x14ac:dyDescent="0.3">
      <c r="A35" s="2" t="s">
        <v>67</v>
      </c>
      <c r="B35" s="2" t="s">
        <v>14</v>
      </c>
      <c r="D35" s="5" t="s">
        <v>70</v>
      </c>
      <c r="E35" s="2">
        <v>1500</v>
      </c>
      <c r="F35" s="2">
        <v>1500</v>
      </c>
      <c r="G35" s="2">
        <f t="shared" si="0"/>
        <v>0</v>
      </c>
      <c r="H35" s="3">
        <v>45654</v>
      </c>
      <c r="I35" s="2" t="s">
        <v>272</v>
      </c>
    </row>
    <row r="36" spans="1:9" s="2" customFormat="1" ht="28.8" x14ac:dyDescent="0.3">
      <c r="A36" s="2" t="s">
        <v>21</v>
      </c>
      <c r="B36" s="2" t="s">
        <v>71</v>
      </c>
      <c r="D36" s="9" t="s">
        <v>344</v>
      </c>
      <c r="E36" s="2">
        <v>2100</v>
      </c>
      <c r="F36" s="2">
        <v>2100</v>
      </c>
      <c r="G36" s="2">
        <f t="shared" si="0"/>
        <v>0</v>
      </c>
      <c r="H36" s="3">
        <v>45655</v>
      </c>
      <c r="I36" s="2" t="s">
        <v>272</v>
      </c>
    </row>
    <row r="37" spans="1:9" s="2" customFormat="1" x14ac:dyDescent="0.3">
      <c r="A37" s="2" t="s">
        <v>367</v>
      </c>
      <c r="B37" s="2" t="s">
        <v>72</v>
      </c>
      <c r="C37" s="2" t="s">
        <v>73</v>
      </c>
      <c r="D37" t="s">
        <v>74</v>
      </c>
      <c r="E37" s="2">
        <v>1000</v>
      </c>
      <c r="F37" s="2">
        <v>1000</v>
      </c>
      <c r="G37" s="2">
        <f t="shared" si="0"/>
        <v>0</v>
      </c>
      <c r="H37" s="3">
        <v>45656</v>
      </c>
      <c r="I37" s="2" t="s">
        <v>272</v>
      </c>
    </row>
    <row r="38" spans="1:9" s="2" customFormat="1" ht="43.2" x14ac:dyDescent="0.3">
      <c r="A38" s="2" t="s">
        <v>76</v>
      </c>
      <c r="B38" s="2" t="s">
        <v>78</v>
      </c>
      <c r="C38" s="2" t="s">
        <v>75</v>
      </c>
      <c r="D38" s="5" t="s">
        <v>77</v>
      </c>
      <c r="E38" s="2">
        <v>1250</v>
      </c>
      <c r="F38" s="2">
        <v>1250</v>
      </c>
      <c r="G38" s="2">
        <f t="shared" si="0"/>
        <v>0</v>
      </c>
      <c r="H38" s="3">
        <v>45657</v>
      </c>
      <c r="I38" s="2" t="s">
        <v>272</v>
      </c>
    </row>
    <row r="39" spans="1:9" s="2" customFormat="1" x14ac:dyDescent="0.3">
      <c r="A39" s="2" t="s">
        <v>13</v>
      </c>
      <c r="B39" s="2" t="s">
        <v>17</v>
      </c>
      <c r="C39" s="2" t="s">
        <v>62</v>
      </c>
      <c r="D39" t="s">
        <v>82</v>
      </c>
      <c r="E39" s="2">
        <v>4000</v>
      </c>
      <c r="F39" s="2">
        <v>4000</v>
      </c>
      <c r="G39" s="2">
        <f t="shared" si="0"/>
        <v>0</v>
      </c>
      <c r="H39" s="3">
        <v>45658</v>
      </c>
      <c r="I39" s="2" t="s">
        <v>272</v>
      </c>
    </row>
    <row r="40" spans="1:9" s="2" customFormat="1" ht="28.8" x14ac:dyDescent="0.3">
      <c r="A40" s="2" t="s">
        <v>81</v>
      </c>
      <c r="B40" s="2" t="s">
        <v>79</v>
      </c>
      <c r="C40" s="2" t="s">
        <v>80</v>
      </c>
      <c r="D40" s="5" t="s">
        <v>83</v>
      </c>
      <c r="E40" s="2">
        <v>1000</v>
      </c>
      <c r="F40" s="2">
        <v>1000</v>
      </c>
      <c r="G40" s="2">
        <f t="shared" si="0"/>
        <v>0</v>
      </c>
      <c r="H40" s="3">
        <v>45658</v>
      </c>
      <c r="I40" s="2" t="s">
        <v>272</v>
      </c>
    </row>
    <row r="41" spans="1:9" s="2" customFormat="1" x14ac:dyDescent="0.3">
      <c r="A41" s="2" t="s">
        <v>84</v>
      </c>
      <c r="B41" s="2" t="s">
        <v>17</v>
      </c>
      <c r="D41" t="s">
        <v>85</v>
      </c>
      <c r="E41" s="2">
        <v>1500</v>
      </c>
      <c r="F41" s="2">
        <v>1500</v>
      </c>
      <c r="G41" s="2">
        <f t="shared" si="0"/>
        <v>0</v>
      </c>
      <c r="H41" s="3">
        <v>45659</v>
      </c>
      <c r="I41" s="2" t="s">
        <v>272</v>
      </c>
    </row>
    <row r="42" spans="1:9" s="2" customFormat="1" x14ac:dyDescent="0.3">
      <c r="A42" s="2" t="s">
        <v>21</v>
      </c>
      <c r="B42" s="2" t="s">
        <v>19</v>
      </c>
      <c r="C42" s="2" t="s">
        <v>22</v>
      </c>
      <c r="D42" s="7" t="s">
        <v>86</v>
      </c>
      <c r="E42" s="2">
        <v>5000</v>
      </c>
      <c r="F42" s="2">
        <v>5000</v>
      </c>
      <c r="G42" s="2">
        <f t="shared" si="0"/>
        <v>0</v>
      </c>
      <c r="H42" s="3">
        <v>45660</v>
      </c>
      <c r="I42" s="2" t="s">
        <v>272</v>
      </c>
    </row>
    <row r="43" spans="1:9" s="2" customFormat="1" x14ac:dyDescent="0.3">
      <c r="A43" s="2" t="s">
        <v>87</v>
      </c>
      <c r="D43" t="s">
        <v>88</v>
      </c>
      <c r="E43" s="2">
        <v>400</v>
      </c>
      <c r="F43" s="2">
        <v>400</v>
      </c>
      <c r="G43" s="2">
        <f t="shared" si="0"/>
        <v>0</v>
      </c>
      <c r="H43" s="3">
        <v>45660</v>
      </c>
      <c r="I43" s="2" t="s">
        <v>274</v>
      </c>
    </row>
    <row r="44" spans="1:9" s="2" customFormat="1" x14ac:dyDescent="0.3">
      <c r="A44" s="2" t="s">
        <v>90</v>
      </c>
      <c r="B44" s="2" t="s">
        <v>72</v>
      </c>
      <c r="D44" s="7" t="s">
        <v>93</v>
      </c>
      <c r="E44" s="2">
        <v>150</v>
      </c>
      <c r="F44" s="2">
        <v>150</v>
      </c>
      <c r="G44" s="2">
        <f t="shared" si="0"/>
        <v>0</v>
      </c>
      <c r="H44" s="3">
        <v>45661</v>
      </c>
      <c r="I44" s="2" t="s">
        <v>272</v>
      </c>
    </row>
    <row r="45" spans="1:9" s="2" customFormat="1" x14ac:dyDescent="0.3">
      <c r="A45" s="2" t="s">
        <v>367</v>
      </c>
      <c r="B45" s="2" t="s">
        <v>72</v>
      </c>
      <c r="C45" s="2" t="s">
        <v>73</v>
      </c>
      <c r="D45" s="5" t="s">
        <v>96</v>
      </c>
      <c r="E45" s="2">
        <v>4200</v>
      </c>
      <c r="F45" s="2">
        <v>4200</v>
      </c>
      <c r="G45" s="2">
        <f t="shared" si="0"/>
        <v>0</v>
      </c>
      <c r="H45" s="3">
        <v>45661</v>
      </c>
      <c r="I45" s="2" t="s">
        <v>272</v>
      </c>
    </row>
    <row r="46" spans="1:9" s="2" customFormat="1" x14ac:dyDescent="0.3">
      <c r="A46" s="2" t="s">
        <v>91</v>
      </c>
      <c r="B46" s="2" t="s">
        <v>14</v>
      </c>
      <c r="D46" s="7" t="s">
        <v>94</v>
      </c>
      <c r="E46" s="2">
        <v>79500</v>
      </c>
      <c r="F46" s="2">
        <v>79500</v>
      </c>
      <c r="G46" s="2">
        <f t="shared" si="0"/>
        <v>0</v>
      </c>
      <c r="H46" s="3">
        <v>45661</v>
      </c>
      <c r="I46" s="2" t="s">
        <v>273</v>
      </c>
    </row>
    <row r="47" spans="1:9" s="2" customFormat="1" x14ac:dyDescent="0.3">
      <c r="A47" s="2" t="s">
        <v>92</v>
      </c>
      <c r="B47" s="2" t="s">
        <v>89</v>
      </c>
      <c r="D47" s="7" t="s">
        <v>95</v>
      </c>
      <c r="E47" s="2">
        <v>30000</v>
      </c>
      <c r="F47" s="2">
        <v>30000</v>
      </c>
      <c r="G47" s="2">
        <f t="shared" si="0"/>
        <v>0</v>
      </c>
      <c r="H47" s="3">
        <v>45661</v>
      </c>
      <c r="I47" s="2" t="s">
        <v>274</v>
      </c>
    </row>
    <row r="48" spans="1:9" s="2" customFormat="1" ht="43.2" x14ac:dyDescent="0.3">
      <c r="A48" s="2" t="s">
        <v>100</v>
      </c>
      <c r="B48" s="2" t="s">
        <v>97</v>
      </c>
      <c r="C48" s="2" t="s">
        <v>103</v>
      </c>
      <c r="D48" s="5" t="s">
        <v>105</v>
      </c>
      <c r="E48" s="2">
        <v>2500</v>
      </c>
      <c r="F48" s="2">
        <v>2500</v>
      </c>
      <c r="G48" s="2">
        <f t="shared" si="0"/>
        <v>0</v>
      </c>
      <c r="H48" s="3">
        <v>45663</v>
      </c>
      <c r="I48" s="2" t="s">
        <v>272</v>
      </c>
    </row>
    <row r="49" spans="1:9" s="2" customFormat="1" x14ac:dyDescent="0.3">
      <c r="A49" s="2" t="s">
        <v>49</v>
      </c>
      <c r="B49" s="2" t="s">
        <v>14</v>
      </c>
      <c r="C49" s="2" t="s">
        <v>104</v>
      </c>
      <c r="D49" s="9" t="s">
        <v>60</v>
      </c>
      <c r="E49" s="2">
        <v>2000</v>
      </c>
      <c r="F49" s="2">
        <v>2000</v>
      </c>
      <c r="G49" s="2">
        <f t="shared" si="0"/>
        <v>0</v>
      </c>
      <c r="H49" s="3">
        <v>45663</v>
      </c>
      <c r="I49" s="2" t="s">
        <v>272</v>
      </c>
    </row>
    <row r="50" spans="1:9" s="2" customFormat="1" ht="28.8" x14ac:dyDescent="0.3">
      <c r="A50" s="2" t="s">
        <v>206</v>
      </c>
      <c r="B50" s="2" t="s">
        <v>98</v>
      </c>
      <c r="D50" s="5" t="s">
        <v>106</v>
      </c>
      <c r="E50" s="2">
        <v>300</v>
      </c>
      <c r="F50" s="2">
        <v>300</v>
      </c>
      <c r="G50" s="2">
        <f t="shared" si="0"/>
        <v>0</v>
      </c>
      <c r="H50" s="3">
        <v>45663</v>
      </c>
      <c r="I50" s="2" t="s">
        <v>272</v>
      </c>
    </row>
    <row r="51" spans="1:9" s="2" customFormat="1" ht="43.2" x14ac:dyDescent="0.3">
      <c r="A51" s="2" t="s">
        <v>101</v>
      </c>
      <c r="B51" s="2" t="s">
        <v>99</v>
      </c>
      <c r="D51" s="5" t="s">
        <v>107</v>
      </c>
      <c r="E51" s="2">
        <v>200</v>
      </c>
      <c r="F51" s="2">
        <v>200</v>
      </c>
      <c r="G51" s="2">
        <f t="shared" si="0"/>
        <v>0</v>
      </c>
      <c r="H51" s="3">
        <v>45663</v>
      </c>
      <c r="I51" s="2" t="s">
        <v>272</v>
      </c>
    </row>
    <row r="52" spans="1:9" s="2" customFormat="1" x14ac:dyDescent="0.3">
      <c r="A52" s="2" t="s">
        <v>102</v>
      </c>
      <c r="B52" s="2" t="s">
        <v>9</v>
      </c>
      <c r="D52" t="s">
        <v>108</v>
      </c>
      <c r="E52" s="2">
        <v>60000</v>
      </c>
      <c r="F52" s="2">
        <v>60000</v>
      </c>
      <c r="G52" s="2">
        <f t="shared" si="0"/>
        <v>0</v>
      </c>
      <c r="H52" s="3">
        <v>45663</v>
      </c>
      <c r="I52" s="2" t="s">
        <v>274</v>
      </c>
    </row>
    <row r="53" spans="1:9" s="2" customFormat="1" ht="28.8" x14ac:dyDescent="0.3">
      <c r="A53" s="2" t="s">
        <v>57</v>
      </c>
      <c r="B53" s="2" t="s">
        <v>97</v>
      </c>
      <c r="D53" s="9" t="s">
        <v>111</v>
      </c>
      <c r="E53" s="2">
        <v>1700</v>
      </c>
      <c r="F53" s="2">
        <v>1700</v>
      </c>
      <c r="G53" s="2">
        <f t="shared" si="0"/>
        <v>0</v>
      </c>
      <c r="H53" s="3">
        <v>45664</v>
      </c>
      <c r="I53" s="2" t="s">
        <v>272</v>
      </c>
    </row>
    <row r="54" spans="1:9" s="2" customFormat="1" ht="28.8" x14ac:dyDescent="0.3">
      <c r="A54" s="2" t="s">
        <v>110</v>
      </c>
      <c r="B54" s="2" t="s">
        <v>51</v>
      </c>
      <c r="D54" s="9" t="s">
        <v>112</v>
      </c>
      <c r="E54" s="2">
        <v>1000</v>
      </c>
      <c r="F54" s="2">
        <v>1000</v>
      </c>
      <c r="G54" s="2">
        <f t="shared" si="0"/>
        <v>0</v>
      </c>
      <c r="H54" s="3">
        <v>45664</v>
      </c>
      <c r="I54" s="2" t="s">
        <v>272</v>
      </c>
    </row>
    <row r="55" spans="1:9" s="2" customFormat="1" x14ac:dyDescent="0.3">
      <c r="A55" s="2" t="s">
        <v>58</v>
      </c>
      <c r="B55" s="2" t="s">
        <v>109</v>
      </c>
      <c r="C55" s="2" t="s">
        <v>374</v>
      </c>
      <c r="D55" t="s">
        <v>113</v>
      </c>
      <c r="E55" s="2">
        <v>1500</v>
      </c>
      <c r="F55" s="2">
        <v>1500</v>
      </c>
      <c r="G55" s="2">
        <f t="shared" si="0"/>
        <v>0</v>
      </c>
      <c r="H55" s="3">
        <v>45664</v>
      </c>
      <c r="I55" s="2" t="s">
        <v>272</v>
      </c>
    </row>
    <row r="56" spans="1:9" s="2" customFormat="1" x14ac:dyDescent="0.3">
      <c r="A56" s="2" t="s">
        <v>115</v>
      </c>
      <c r="B56" s="2" t="s">
        <v>44</v>
      </c>
      <c r="C56" s="2" t="s">
        <v>117</v>
      </c>
      <c r="D56" t="s">
        <v>118</v>
      </c>
      <c r="E56" s="2">
        <v>13800</v>
      </c>
      <c r="F56" s="2">
        <v>13800</v>
      </c>
      <c r="G56" s="2">
        <f t="shared" si="0"/>
        <v>0</v>
      </c>
      <c r="H56" s="3">
        <v>45665</v>
      </c>
      <c r="I56" s="2" t="s">
        <v>273</v>
      </c>
    </row>
    <row r="57" spans="1:9" s="2" customFormat="1" x14ac:dyDescent="0.3">
      <c r="A57" s="2" t="s">
        <v>116</v>
      </c>
      <c r="B57" s="2" t="s">
        <v>114</v>
      </c>
      <c r="D57" t="s">
        <v>85</v>
      </c>
      <c r="E57" s="2">
        <v>800</v>
      </c>
      <c r="F57" s="2">
        <v>800</v>
      </c>
      <c r="G57" s="2">
        <f t="shared" si="0"/>
        <v>0</v>
      </c>
      <c r="H57" s="3">
        <v>45665</v>
      </c>
      <c r="I57" s="2" t="s">
        <v>272</v>
      </c>
    </row>
    <row r="58" spans="1:9" s="2" customFormat="1" ht="43.2" x14ac:dyDescent="0.3">
      <c r="A58" s="2" t="s">
        <v>64</v>
      </c>
      <c r="B58" s="2" t="s">
        <v>51</v>
      </c>
      <c r="D58" s="9" t="s">
        <v>119</v>
      </c>
      <c r="E58" s="2">
        <v>4000</v>
      </c>
      <c r="F58" s="2">
        <v>4000</v>
      </c>
      <c r="G58" s="2">
        <f t="shared" si="0"/>
        <v>0</v>
      </c>
      <c r="H58" s="3">
        <v>45665</v>
      </c>
      <c r="I58" s="2" t="s">
        <v>273</v>
      </c>
    </row>
    <row r="59" spans="1:9" s="2" customFormat="1" x14ac:dyDescent="0.3">
      <c r="A59" s="2" t="s">
        <v>120</v>
      </c>
      <c r="B59" s="2" t="s">
        <v>98</v>
      </c>
      <c r="D59" t="s">
        <v>121</v>
      </c>
      <c r="E59" s="2">
        <v>500</v>
      </c>
      <c r="F59" s="2">
        <v>500</v>
      </c>
      <c r="G59" s="2">
        <f t="shared" si="0"/>
        <v>0</v>
      </c>
      <c r="H59" s="3">
        <v>45666</v>
      </c>
      <c r="I59" s="2" t="s">
        <v>272</v>
      </c>
    </row>
    <row r="60" spans="1:9" s="2" customFormat="1" x14ac:dyDescent="0.3">
      <c r="A60" s="2" t="s">
        <v>47</v>
      </c>
      <c r="B60" s="2" t="s">
        <v>19</v>
      </c>
      <c r="C60" s="2" t="s">
        <v>123</v>
      </c>
      <c r="D60" t="s">
        <v>125</v>
      </c>
      <c r="E60" s="2">
        <v>5000</v>
      </c>
      <c r="F60" s="2">
        <v>5000</v>
      </c>
      <c r="G60" s="2">
        <f t="shared" si="0"/>
        <v>0</v>
      </c>
      <c r="H60" s="3">
        <v>45667</v>
      </c>
      <c r="I60" s="2" t="s">
        <v>272</v>
      </c>
    </row>
    <row r="61" spans="1:9" s="2" customFormat="1" x14ac:dyDescent="0.3">
      <c r="A61" s="2" t="s">
        <v>47</v>
      </c>
      <c r="B61" s="2" t="s">
        <v>122</v>
      </c>
      <c r="C61" s="2" t="s">
        <v>124</v>
      </c>
      <c r="D61" t="s">
        <v>126</v>
      </c>
      <c r="E61" s="2">
        <v>10000</v>
      </c>
      <c r="F61" s="2">
        <v>10000</v>
      </c>
      <c r="G61" s="2">
        <f t="shared" si="0"/>
        <v>0</v>
      </c>
      <c r="H61" s="3">
        <v>45667</v>
      </c>
      <c r="I61" s="2" t="s">
        <v>272</v>
      </c>
    </row>
    <row r="62" spans="1:9" s="2" customFormat="1" x14ac:dyDescent="0.3">
      <c r="A62" s="2" t="s">
        <v>81</v>
      </c>
      <c r="B62" s="2" t="s">
        <v>72</v>
      </c>
      <c r="D62" t="s">
        <v>60</v>
      </c>
      <c r="E62" s="2">
        <v>1500</v>
      </c>
      <c r="F62" s="2">
        <v>1500</v>
      </c>
      <c r="G62" s="2">
        <f t="shared" si="0"/>
        <v>0</v>
      </c>
      <c r="H62" s="3">
        <v>45668</v>
      </c>
      <c r="I62" s="2" t="s">
        <v>272</v>
      </c>
    </row>
    <row r="63" spans="1:9" s="2" customFormat="1" x14ac:dyDescent="0.3">
      <c r="A63" s="2" t="s">
        <v>81</v>
      </c>
      <c r="B63" s="2" t="s">
        <v>79</v>
      </c>
      <c r="D63" t="s">
        <v>127</v>
      </c>
      <c r="E63" s="2">
        <v>300</v>
      </c>
      <c r="F63" s="2">
        <v>300</v>
      </c>
      <c r="G63" s="2">
        <f t="shared" si="0"/>
        <v>0</v>
      </c>
      <c r="H63" s="3">
        <v>45668</v>
      </c>
      <c r="I63" s="2" t="s">
        <v>272</v>
      </c>
    </row>
    <row r="64" spans="1:9" s="2" customFormat="1" ht="28.8" x14ac:dyDescent="0.3">
      <c r="A64" s="2" t="s">
        <v>100</v>
      </c>
      <c r="B64" s="2" t="s">
        <v>19</v>
      </c>
      <c r="C64" s="2" t="s">
        <v>128</v>
      </c>
      <c r="D64" s="5" t="s">
        <v>129</v>
      </c>
      <c r="E64" s="2">
        <v>4500</v>
      </c>
      <c r="F64" s="2">
        <v>4500</v>
      </c>
      <c r="G64" s="2">
        <f t="shared" si="0"/>
        <v>0</v>
      </c>
      <c r="H64" s="3">
        <v>45670</v>
      </c>
      <c r="I64" s="2" t="s">
        <v>272</v>
      </c>
    </row>
    <row r="65" spans="1:9" s="2" customFormat="1" x14ac:dyDescent="0.3">
      <c r="A65" s="2" t="s">
        <v>41</v>
      </c>
      <c r="B65" s="2" t="s">
        <v>40</v>
      </c>
      <c r="D65" t="s">
        <v>130</v>
      </c>
      <c r="E65" s="2">
        <v>300</v>
      </c>
      <c r="F65" s="2">
        <v>300</v>
      </c>
      <c r="G65" s="2">
        <f t="shared" si="0"/>
        <v>0</v>
      </c>
      <c r="H65" s="3">
        <v>45671</v>
      </c>
      <c r="I65" s="2" t="s">
        <v>273</v>
      </c>
    </row>
    <row r="66" spans="1:9" s="2" customFormat="1" ht="28.8" x14ac:dyDescent="0.3">
      <c r="A66" s="2" t="s">
        <v>132</v>
      </c>
      <c r="B66" s="2" t="s">
        <v>19</v>
      </c>
      <c r="D66" s="5" t="s">
        <v>131</v>
      </c>
      <c r="E66" s="2">
        <v>11000</v>
      </c>
      <c r="F66" s="2">
        <v>11000</v>
      </c>
      <c r="G66" s="2">
        <f>E66-F66</f>
        <v>0</v>
      </c>
      <c r="H66" s="3">
        <v>45672</v>
      </c>
      <c r="I66" s="2" t="s">
        <v>273</v>
      </c>
    </row>
    <row r="67" spans="1:9" s="2" customFormat="1" x14ac:dyDescent="0.3">
      <c r="A67" s="2" t="s">
        <v>21</v>
      </c>
      <c r="B67" s="2" t="s">
        <v>99</v>
      </c>
      <c r="D67" t="s">
        <v>133</v>
      </c>
      <c r="E67" s="2">
        <v>6000</v>
      </c>
      <c r="F67" s="2">
        <v>6000</v>
      </c>
      <c r="G67" s="2">
        <f t="shared" ref="G67:G126" si="1">E67-F67</f>
        <v>0</v>
      </c>
      <c r="H67" s="3">
        <v>45674</v>
      </c>
      <c r="I67" s="2" t="s">
        <v>272</v>
      </c>
    </row>
    <row r="68" spans="1:9" s="2" customFormat="1" ht="57.6" x14ac:dyDescent="0.3">
      <c r="A68" s="2" t="s">
        <v>21</v>
      </c>
      <c r="B68" s="2" t="s">
        <v>30</v>
      </c>
      <c r="C68" s="2" t="s">
        <v>68</v>
      </c>
      <c r="D68" s="5" t="s">
        <v>134</v>
      </c>
      <c r="E68" s="2">
        <v>8000</v>
      </c>
      <c r="F68" s="2">
        <v>8000</v>
      </c>
      <c r="G68" s="2">
        <f t="shared" si="1"/>
        <v>0</v>
      </c>
      <c r="H68" s="3">
        <v>45674</v>
      </c>
      <c r="I68" s="2" t="s">
        <v>272</v>
      </c>
    </row>
    <row r="69" spans="1:9" s="2" customFormat="1" x14ac:dyDescent="0.3">
      <c r="A69" s="2" t="s">
        <v>139</v>
      </c>
      <c r="D69" t="s">
        <v>136</v>
      </c>
      <c r="E69" s="2">
        <v>7200</v>
      </c>
      <c r="F69" s="2">
        <v>7200</v>
      </c>
      <c r="G69" s="2">
        <f t="shared" si="1"/>
        <v>0</v>
      </c>
      <c r="H69" s="3">
        <v>45675</v>
      </c>
      <c r="I69" s="2" t="s">
        <v>274</v>
      </c>
    </row>
    <row r="70" spans="1:9" s="2" customFormat="1" x14ac:dyDescent="0.3">
      <c r="A70" s="2" t="s">
        <v>135</v>
      </c>
      <c r="D70" t="s">
        <v>137</v>
      </c>
      <c r="E70" s="2">
        <v>325</v>
      </c>
      <c r="F70" s="2">
        <v>325</v>
      </c>
      <c r="G70" s="2">
        <f t="shared" si="1"/>
        <v>0</v>
      </c>
      <c r="H70" s="3">
        <v>45675</v>
      </c>
      <c r="I70" s="2" t="s">
        <v>274</v>
      </c>
    </row>
    <row r="71" spans="1:9" s="2" customFormat="1" x14ac:dyDescent="0.3">
      <c r="A71" s="2" t="s">
        <v>135</v>
      </c>
      <c r="D71" t="s">
        <v>138</v>
      </c>
      <c r="E71" s="2">
        <v>400</v>
      </c>
      <c r="F71" s="2">
        <v>400</v>
      </c>
      <c r="G71" s="2">
        <f t="shared" si="1"/>
        <v>0</v>
      </c>
      <c r="H71" s="3">
        <v>45675</v>
      </c>
      <c r="I71" s="2" t="s">
        <v>274</v>
      </c>
    </row>
    <row r="72" spans="1:9" s="2" customFormat="1" ht="28.8" x14ac:dyDescent="0.3">
      <c r="A72" s="2" t="s">
        <v>90</v>
      </c>
      <c r="B72" s="2" t="s">
        <v>72</v>
      </c>
      <c r="D72" s="9" t="s">
        <v>140</v>
      </c>
      <c r="E72" s="2">
        <v>60000</v>
      </c>
      <c r="F72" s="2">
        <v>60000</v>
      </c>
      <c r="G72" s="2">
        <f t="shared" si="1"/>
        <v>0</v>
      </c>
      <c r="H72" s="3">
        <v>45676</v>
      </c>
      <c r="I72" s="2" t="s">
        <v>273</v>
      </c>
    </row>
    <row r="73" spans="1:9" s="2" customFormat="1" x14ac:dyDescent="0.3">
      <c r="A73" s="2" t="s">
        <v>100</v>
      </c>
      <c r="B73" s="2" t="s">
        <v>19</v>
      </c>
      <c r="C73" s="2" t="s">
        <v>128</v>
      </c>
      <c r="D73" t="s">
        <v>141</v>
      </c>
      <c r="E73" s="2">
        <v>15000</v>
      </c>
      <c r="F73" s="2">
        <v>15000</v>
      </c>
      <c r="G73" s="2">
        <f t="shared" si="1"/>
        <v>0</v>
      </c>
      <c r="H73" s="3">
        <v>45676</v>
      </c>
      <c r="I73" s="2" t="s">
        <v>272</v>
      </c>
    </row>
    <row r="74" spans="1:9" s="2" customFormat="1" ht="28.8" x14ac:dyDescent="0.3">
      <c r="A74" s="2" t="s">
        <v>57</v>
      </c>
      <c r="B74" s="2" t="s">
        <v>19</v>
      </c>
      <c r="D74" s="5" t="s">
        <v>142</v>
      </c>
      <c r="E74" s="2">
        <v>3000</v>
      </c>
      <c r="F74" s="2">
        <v>3000</v>
      </c>
      <c r="G74" s="2">
        <f t="shared" si="1"/>
        <v>0</v>
      </c>
      <c r="H74" s="3">
        <v>45677</v>
      </c>
      <c r="I74" s="2" t="s">
        <v>272</v>
      </c>
    </row>
    <row r="75" spans="1:9" s="2" customFormat="1" x14ac:dyDescent="0.3">
      <c r="A75" s="2" t="s">
        <v>81</v>
      </c>
      <c r="B75" s="2" t="s">
        <v>72</v>
      </c>
      <c r="D75" t="s">
        <v>143</v>
      </c>
      <c r="E75" s="2">
        <v>200</v>
      </c>
      <c r="F75" s="2">
        <v>200</v>
      </c>
      <c r="G75" s="2">
        <f t="shared" si="1"/>
        <v>0</v>
      </c>
      <c r="H75" s="3">
        <v>45677</v>
      </c>
      <c r="I75" s="2" t="s">
        <v>272</v>
      </c>
    </row>
    <row r="76" spans="1:9" s="2" customFormat="1" x14ac:dyDescent="0.3">
      <c r="A76" s="2" t="s">
        <v>21</v>
      </c>
      <c r="B76" s="2" t="s">
        <v>19</v>
      </c>
      <c r="C76" s="2" t="s">
        <v>22</v>
      </c>
      <c r="D76" t="s">
        <v>147</v>
      </c>
      <c r="E76" s="2">
        <v>3000</v>
      </c>
      <c r="F76" s="2">
        <v>3000</v>
      </c>
      <c r="G76" s="2">
        <f t="shared" si="1"/>
        <v>0</v>
      </c>
      <c r="H76" s="3">
        <v>45678</v>
      </c>
      <c r="I76" s="2" t="s">
        <v>272</v>
      </c>
    </row>
    <row r="77" spans="1:9" s="2" customFormat="1" x14ac:dyDescent="0.3">
      <c r="A77" s="2" t="s">
        <v>146</v>
      </c>
      <c r="B77" s="2" t="s">
        <v>144</v>
      </c>
      <c r="D77" t="s">
        <v>148</v>
      </c>
      <c r="E77" s="2">
        <v>36000</v>
      </c>
      <c r="F77" s="2">
        <v>36000</v>
      </c>
      <c r="G77" s="2">
        <f t="shared" si="1"/>
        <v>0</v>
      </c>
      <c r="H77" s="3">
        <v>45678</v>
      </c>
      <c r="I77" s="2" t="s">
        <v>272</v>
      </c>
    </row>
    <row r="78" spans="1:9" s="2" customFormat="1" x14ac:dyDescent="0.3">
      <c r="A78" s="2" t="s">
        <v>31</v>
      </c>
      <c r="B78" s="2" t="s">
        <v>72</v>
      </c>
      <c r="C78" s="2" t="s">
        <v>145</v>
      </c>
      <c r="D78" t="s">
        <v>149</v>
      </c>
      <c r="E78" s="2">
        <v>1000</v>
      </c>
      <c r="F78" s="2">
        <v>1000</v>
      </c>
      <c r="G78" s="2">
        <f t="shared" si="1"/>
        <v>0</v>
      </c>
      <c r="H78" s="3">
        <v>45678</v>
      </c>
      <c r="I78" s="2" t="s">
        <v>272</v>
      </c>
    </row>
    <row r="79" spans="1:9" s="2" customFormat="1" ht="28.8" x14ac:dyDescent="0.3">
      <c r="A79" s="2" t="s">
        <v>31</v>
      </c>
      <c r="B79" s="2" t="s">
        <v>72</v>
      </c>
      <c r="C79" s="2" t="s">
        <v>145</v>
      </c>
      <c r="D79" s="10" t="s">
        <v>150</v>
      </c>
      <c r="E79" s="2">
        <v>5000</v>
      </c>
      <c r="F79" s="2">
        <v>5000</v>
      </c>
      <c r="G79" s="2">
        <f t="shared" si="1"/>
        <v>0</v>
      </c>
      <c r="H79" s="3">
        <v>45679</v>
      </c>
      <c r="I79" s="2" t="s">
        <v>273</v>
      </c>
    </row>
    <row r="80" spans="1:9" s="2" customFormat="1" x14ac:dyDescent="0.3">
      <c r="A80" s="2" t="s">
        <v>100</v>
      </c>
      <c r="B80" s="2" t="s">
        <v>19</v>
      </c>
      <c r="C80" s="2" t="s">
        <v>128</v>
      </c>
      <c r="D80" t="s">
        <v>151</v>
      </c>
      <c r="E80" s="2">
        <v>4000</v>
      </c>
      <c r="F80" s="2">
        <v>4000</v>
      </c>
      <c r="G80" s="2">
        <f t="shared" si="1"/>
        <v>0</v>
      </c>
      <c r="H80" s="3">
        <v>45680</v>
      </c>
      <c r="I80" s="2" t="s">
        <v>272</v>
      </c>
    </row>
    <row r="81" spans="1:9" s="2" customFormat="1" x14ac:dyDescent="0.3">
      <c r="A81" s="2" t="s">
        <v>228</v>
      </c>
      <c r="B81" s="2" t="s">
        <v>72</v>
      </c>
      <c r="D81" t="s">
        <v>154</v>
      </c>
      <c r="E81" s="2">
        <v>3000</v>
      </c>
      <c r="F81" s="2">
        <v>3000</v>
      </c>
      <c r="G81" s="2">
        <f t="shared" si="1"/>
        <v>0</v>
      </c>
      <c r="H81" s="3">
        <v>45682</v>
      </c>
      <c r="I81" s="2" t="s">
        <v>272</v>
      </c>
    </row>
    <row r="82" spans="1:9" s="2" customFormat="1" x14ac:dyDescent="0.3">
      <c r="A82" s="2" t="s">
        <v>45</v>
      </c>
      <c r="B82" s="2" t="s">
        <v>44</v>
      </c>
      <c r="C82" s="2" t="s">
        <v>152</v>
      </c>
      <c r="D82" t="s">
        <v>60</v>
      </c>
      <c r="E82" s="2">
        <v>1500</v>
      </c>
      <c r="F82" s="2">
        <v>1500</v>
      </c>
      <c r="G82" s="2">
        <f t="shared" si="1"/>
        <v>0</v>
      </c>
      <c r="H82" s="3">
        <v>45682</v>
      </c>
      <c r="I82" s="2" t="s">
        <v>272</v>
      </c>
    </row>
    <row r="83" spans="1:9" s="2" customFormat="1" x14ac:dyDescent="0.3">
      <c r="A83" s="2" t="s">
        <v>153</v>
      </c>
      <c r="B83" s="2" t="s">
        <v>72</v>
      </c>
      <c r="D83" t="s">
        <v>155</v>
      </c>
      <c r="E83" s="2">
        <v>200</v>
      </c>
      <c r="F83" s="2">
        <v>200</v>
      </c>
      <c r="G83" s="2">
        <f t="shared" si="1"/>
        <v>0</v>
      </c>
      <c r="H83" s="3">
        <v>45682</v>
      </c>
      <c r="I83" s="2" t="s">
        <v>272</v>
      </c>
    </row>
    <row r="84" spans="1:9" s="2" customFormat="1" x14ac:dyDescent="0.3">
      <c r="D84"/>
      <c r="H84" s="3">
        <v>45683</v>
      </c>
      <c r="I84" s="2" t="s">
        <v>272</v>
      </c>
    </row>
    <row r="85" spans="1:9" s="2" customFormat="1" ht="28.8" x14ac:dyDescent="0.3">
      <c r="A85" s="2" t="s">
        <v>157</v>
      </c>
      <c r="B85" s="2" t="s">
        <v>72</v>
      </c>
      <c r="D85" s="10" t="s">
        <v>159</v>
      </c>
      <c r="E85" s="2">
        <v>3000</v>
      </c>
      <c r="F85" s="2">
        <v>3000</v>
      </c>
      <c r="G85" s="2">
        <f t="shared" si="1"/>
        <v>0</v>
      </c>
      <c r="H85" s="3">
        <v>45684</v>
      </c>
      <c r="I85" s="2" t="s">
        <v>272</v>
      </c>
    </row>
    <row r="86" spans="1:9" s="2" customFormat="1" x14ac:dyDescent="0.3">
      <c r="A86" s="2" t="s">
        <v>177</v>
      </c>
      <c r="B86" s="2" t="s">
        <v>156</v>
      </c>
      <c r="C86" s="2" t="s">
        <v>158</v>
      </c>
      <c r="D86" t="s">
        <v>160</v>
      </c>
      <c r="E86" s="2">
        <v>400</v>
      </c>
      <c r="F86" s="2">
        <v>400</v>
      </c>
      <c r="G86" s="2">
        <f t="shared" si="1"/>
        <v>0</v>
      </c>
      <c r="H86" s="3">
        <v>45684</v>
      </c>
      <c r="I86" s="2" t="s">
        <v>272</v>
      </c>
    </row>
    <row r="87" spans="1:9" s="2" customFormat="1" x14ac:dyDescent="0.3">
      <c r="A87" s="2" t="s">
        <v>146</v>
      </c>
      <c r="B87" s="2" t="s">
        <v>144</v>
      </c>
      <c r="D87" t="s">
        <v>161</v>
      </c>
      <c r="E87" s="2">
        <v>36000</v>
      </c>
      <c r="F87" s="2">
        <v>36000</v>
      </c>
      <c r="G87" s="2">
        <f t="shared" si="1"/>
        <v>0</v>
      </c>
      <c r="H87" s="3">
        <v>45685</v>
      </c>
      <c r="I87" s="2" t="s">
        <v>272</v>
      </c>
    </row>
    <row r="88" spans="1:9" s="2" customFormat="1" x14ac:dyDescent="0.3">
      <c r="A88" s="2" t="s">
        <v>162</v>
      </c>
      <c r="B88" s="2" t="s">
        <v>9</v>
      </c>
      <c r="C88" s="2" t="s">
        <v>164</v>
      </c>
      <c r="D88" s="7" t="s">
        <v>166</v>
      </c>
      <c r="E88" s="2">
        <v>4000</v>
      </c>
      <c r="F88" s="2">
        <v>4000</v>
      </c>
      <c r="G88" s="2">
        <f t="shared" si="1"/>
        <v>0</v>
      </c>
      <c r="H88" s="3">
        <v>45686</v>
      </c>
      <c r="I88" s="2" t="s">
        <v>273</v>
      </c>
    </row>
    <row r="89" spans="1:9" s="2" customFormat="1" ht="28.8" x14ac:dyDescent="0.3">
      <c r="A89" s="2" t="s">
        <v>163</v>
      </c>
      <c r="B89" s="2" t="s">
        <v>9</v>
      </c>
      <c r="C89" s="2" t="s">
        <v>165</v>
      </c>
      <c r="D89" s="5" t="s">
        <v>167</v>
      </c>
      <c r="E89" s="2">
        <v>2000</v>
      </c>
      <c r="F89" s="2">
        <v>2000</v>
      </c>
      <c r="G89" s="2">
        <f t="shared" si="1"/>
        <v>0</v>
      </c>
      <c r="H89" s="3">
        <v>45686</v>
      </c>
      <c r="I89" s="2" t="s">
        <v>272</v>
      </c>
    </row>
    <row r="90" spans="1:9" s="2" customFormat="1" ht="43.2" x14ac:dyDescent="0.3">
      <c r="A90" s="2" t="s">
        <v>171</v>
      </c>
      <c r="B90" s="2" t="s">
        <v>168</v>
      </c>
      <c r="C90" s="2" t="s">
        <v>170</v>
      </c>
      <c r="D90" s="10" t="s">
        <v>173</v>
      </c>
      <c r="E90" s="2">
        <v>1000</v>
      </c>
      <c r="F90" s="2">
        <v>0</v>
      </c>
      <c r="G90" s="2">
        <f t="shared" si="1"/>
        <v>1000</v>
      </c>
      <c r="H90" s="3">
        <v>45687</v>
      </c>
      <c r="I90" s="2" t="s">
        <v>272</v>
      </c>
    </row>
    <row r="91" spans="1:9" s="2" customFormat="1" ht="28.8" x14ac:dyDescent="0.3">
      <c r="A91" s="2" t="s">
        <v>172</v>
      </c>
      <c r="B91" s="2" t="s">
        <v>169</v>
      </c>
      <c r="D91" s="10" t="s">
        <v>174</v>
      </c>
      <c r="E91" s="2">
        <v>50000</v>
      </c>
      <c r="F91" s="2">
        <v>50000</v>
      </c>
      <c r="G91" s="2">
        <f t="shared" si="1"/>
        <v>0</v>
      </c>
      <c r="H91" s="3">
        <v>45687</v>
      </c>
      <c r="I91" s="2" t="s">
        <v>273</v>
      </c>
    </row>
    <row r="92" spans="1:9" s="2" customFormat="1" x14ac:dyDescent="0.3">
      <c r="A92" s="2" t="s">
        <v>179</v>
      </c>
      <c r="C92" s="2" t="s">
        <v>176</v>
      </c>
      <c r="D92" s="7" t="s">
        <v>175</v>
      </c>
      <c r="E92" s="2">
        <v>0</v>
      </c>
      <c r="F92" s="2">
        <v>0</v>
      </c>
      <c r="G92" s="2">
        <f t="shared" si="1"/>
        <v>0</v>
      </c>
      <c r="H92" s="3">
        <v>45688</v>
      </c>
      <c r="I92" s="2" t="s">
        <v>274</v>
      </c>
    </row>
    <row r="93" spans="1:9" s="2" customFormat="1" ht="28.8" x14ac:dyDescent="0.3">
      <c r="A93" s="2" t="s">
        <v>178</v>
      </c>
      <c r="B93" s="4" t="s">
        <v>156</v>
      </c>
      <c r="D93" s="9" t="s">
        <v>180</v>
      </c>
      <c r="E93" s="2">
        <v>5000</v>
      </c>
      <c r="F93" s="2">
        <v>5000</v>
      </c>
      <c r="G93" s="2">
        <f t="shared" si="1"/>
        <v>0</v>
      </c>
      <c r="H93" s="3">
        <v>45689</v>
      </c>
      <c r="I93" s="2" t="s">
        <v>272</v>
      </c>
    </row>
    <row r="94" spans="1:9" s="2" customFormat="1" x14ac:dyDescent="0.3">
      <c r="A94" s="2" t="s">
        <v>321</v>
      </c>
      <c r="B94" s="2" t="s">
        <v>30</v>
      </c>
      <c r="D94" t="s">
        <v>181</v>
      </c>
      <c r="E94" s="2">
        <v>200</v>
      </c>
      <c r="F94" s="2">
        <v>200</v>
      </c>
      <c r="G94" s="2">
        <f t="shared" si="1"/>
        <v>0</v>
      </c>
      <c r="H94" s="3">
        <v>45689</v>
      </c>
      <c r="I94" s="2" t="s">
        <v>272</v>
      </c>
    </row>
    <row r="95" spans="1:9" s="2" customFormat="1" x14ac:dyDescent="0.3">
      <c r="A95" s="2" t="s">
        <v>135</v>
      </c>
      <c r="D95" t="s">
        <v>182</v>
      </c>
      <c r="E95" s="2">
        <v>480</v>
      </c>
      <c r="F95" s="2">
        <v>480</v>
      </c>
      <c r="G95" s="2">
        <f t="shared" si="1"/>
        <v>0</v>
      </c>
      <c r="H95" s="3">
        <v>45689</v>
      </c>
      <c r="I95" s="2" t="s">
        <v>274</v>
      </c>
    </row>
    <row r="96" spans="1:9" s="2" customFormat="1" ht="28.8" x14ac:dyDescent="0.3">
      <c r="A96" s="2" t="s">
        <v>183</v>
      </c>
      <c r="B96" s="2" t="s">
        <v>9</v>
      </c>
      <c r="C96" s="2" t="s">
        <v>185</v>
      </c>
      <c r="D96" s="10" t="s">
        <v>184</v>
      </c>
      <c r="E96" s="2">
        <v>57000</v>
      </c>
      <c r="F96" s="2">
        <v>57000</v>
      </c>
      <c r="G96" s="2">
        <f t="shared" si="1"/>
        <v>0</v>
      </c>
      <c r="H96" s="3">
        <v>45690</v>
      </c>
      <c r="I96" s="2" t="s">
        <v>273</v>
      </c>
    </row>
    <row r="97" spans="1:9" s="2" customFormat="1" ht="28.8" x14ac:dyDescent="0.3">
      <c r="A97" s="2" t="s">
        <v>100</v>
      </c>
      <c r="B97" s="2" t="s">
        <v>98</v>
      </c>
      <c r="D97" s="10" t="s">
        <v>187</v>
      </c>
      <c r="E97" s="2">
        <v>10000</v>
      </c>
      <c r="F97" s="2">
        <v>10000</v>
      </c>
      <c r="G97" s="2">
        <f t="shared" si="1"/>
        <v>0</v>
      </c>
      <c r="H97" s="3">
        <v>45691</v>
      </c>
      <c r="I97" s="2" t="s">
        <v>273</v>
      </c>
    </row>
    <row r="98" spans="1:9" s="2" customFormat="1" x14ac:dyDescent="0.3">
      <c r="A98" s="2" t="s">
        <v>186</v>
      </c>
      <c r="B98" s="2" t="s">
        <v>144</v>
      </c>
      <c r="D98" t="s">
        <v>188</v>
      </c>
      <c r="E98" s="2">
        <v>500</v>
      </c>
      <c r="F98" s="2">
        <v>500</v>
      </c>
      <c r="G98" s="2">
        <f t="shared" si="1"/>
        <v>0</v>
      </c>
      <c r="H98" s="3">
        <v>45691</v>
      </c>
      <c r="I98" s="2" t="s">
        <v>272</v>
      </c>
    </row>
    <row r="99" spans="1:9" s="2" customFormat="1" x14ac:dyDescent="0.3">
      <c r="A99" s="2" t="s">
        <v>153</v>
      </c>
      <c r="B99" s="2" t="s">
        <v>72</v>
      </c>
      <c r="D99" t="s">
        <v>189</v>
      </c>
      <c r="E99" s="2">
        <v>1000</v>
      </c>
      <c r="F99" s="2">
        <v>1000</v>
      </c>
      <c r="G99" s="2">
        <f t="shared" si="1"/>
        <v>0</v>
      </c>
      <c r="H99" s="3">
        <v>45692</v>
      </c>
      <c r="I99" s="2" t="s">
        <v>272</v>
      </c>
    </row>
    <row r="100" spans="1:9" s="2" customFormat="1" x14ac:dyDescent="0.3">
      <c r="A100" s="2" t="s">
        <v>191</v>
      </c>
      <c r="B100" s="2" t="s">
        <v>190</v>
      </c>
      <c r="D100" t="s">
        <v>192</v>
      </c>
      <c r="E100" s="2">
        <v>12500</v>
      </c>
      <c r="F100" s="2">
        <v>12500</v>
      </c>
      <c r="G100" s="2">
        <f t="shared" si="1"/>
        <v>0</v>
      </c>
      <c r="H100" s="3">
        <v>45693</v>
      </c>
      <c r="I100" s="2" t="s">
        <v>274</v>
      </c>
    </row>
    <row r="101" spans="1:9" s="2" customFormat="1" ht="28.8" x14ac:dyDescent="0.3">
      <c r="A101" s="2" t="s">
        <v>183</v>
      </c>
      <c r="B101" s="2" t="s">
        <v>9</v>
      </c>
      <c r="C101" s="2" t="s">
        <v>185</v>
      </c>
      <c r="D101" s="10" t="s">
        <v>193</v>
      </c>
      <c r="E101" s="2">
        <v>2000</v>
      </c>
      <c r="F101" s="2">
        <v>2000</v>
      </c>
      <c r="G101" s="2">
        <f t="shared" si="1"/>
        <v>0</v>
      </c>
      <c r="H101" s="3">
        <v>45694</v>
      </c>
      <c r="I101" s="2" t="s">
        <v>272</v>
      </c>
    </row>
    <row r="102" spans="1:9" s="2" customFormat="1" x14ac:dyDescent="0.3">
      <c r="A102" s="2" t="s">
        <v>194</v>
      </c>
      <c r="B102" s="2" t="s">
        <v>14</v>
      </c>
      <c r="D102" t="s">
        <v>195</v>
      </c>
      <c r="E102" s="2">
        <v>140</v>
      </c>
      <c r="F102" s="2">
        <v>140</v>
      </c>
      <c r="G102" s="2">
        <f t="shared" si="1"/>
        <v>0</v>
      </c>
      <c r="H102" s="3">
        <v>45695</v>
      </c>
      <c r="I102" s="2" t="s">
        <v>272</v>
      </c>
    </row>
    <row r="103" spans="1:9" s="2" customFormat="1" x14ac:dyDescent="0.3">
      <c r="A103" s="2" t="s">
        <v>194</v>
      </c>
      <c r="B103" s="2" t="s">
        <v>14</v>
      </c>
      <c r="D103" t="s">
        <v>196</v>
      </c>
      <c r="E103" s="2">
        <v>10000</v>
      </c>
      <c r="F103" s="2">
        <v>10000</v>
      </c>
      <c r="G103" s="2">
        <f t="shared" si="1"/>
        <v>0</v>
      </c>
      <c r="H103" s="3">
        <v>45698</v>
      </c>
      <c r="I103" s="2" t="s">
        <v>272</v>
      </c>
    </row>
    <row r="104" spans="1:9" s="2" customFormat="1" x14ac:dyDescent="0.3">
      <c r="A104" s="2" t="s">
        <v>183</v>
      </c>
      <c r="B104" s="2" t="s">
        <v>9</v>
      </c>
      <c r="C104" s="2" t="s">
        <v>185</v>
      </c>
      <c r="D104" t="s">
        <v>197</v>
      </c>
      <c r="E104" s="2">
        <v>5000</v>
      </c>
      <c r="F104" s="2">
        <v>5000</v>
      </c>
      <c r="G104" s="2">
        <f t="shared" si="1"/>
        <v>0</v>
      </c>
      <c r="H104" s="3">
        <v>45698</v>
      </c>
      <c r="I104" s="2" t="s">
        <v>272</v>
      </c>
    </row>
    <row r="105" spans="1:9" s="2" customFormat="1" x14ac:dyDescent="0.3">
      <c r="A105" s="2" t="s">
        <v>204</v>
      </c>
      <c r="B105" s="2" t="s">
        <v>207</v>
      </c>
      <c r="C105" s="2" t="s">
        <v>201</v>
      </c>
      <c r="D105" t="s">
        <v>198</v>
      </c>
      <c r="E105" s="2">
        <v>1500</v>
      </c>
      <c r="F105" s="2">
        <v>1500</v>
      </c>
      <c r="G105" s="2">
        <f t="shared" si="1"/>
        <v>0</v>
      </c>
      <c r="H105" s="3">
        <v>45699</v>
      </c>
      <c r="I105" s="2" t="s">
        <v>272</v>
      </c>
    </row>
    <row r="106" spans="1:9" s="2" customFormat="1" x14ac:dyDescent="0.3">
      <c r="A106" s="2" t="s">
        <v>21</v>
      </c>
      <c r="B106" s="2" t="s">
        <v>19</v>
      </c>
      <c r="C106" s="2" t="s">
        <v>202</v>
      </c>
      <c r="D106" t="s">
        <v>199</v>
      </c>
      <c r="E106" s="2">
        <v>0</v>
      </c>
      <c r="F106" s="2">
        <v>0</v>
      </c>
      <c r="G106" s="2">
        <f t="shared" si="1"/>
        <v>0</v>
      </c>
      <c r="H106" s="3">
        <v>45699</v>
      </c>
      <c r="I106" s="2" t="s">
        <v>272</v>
      </c>
    </row>
    <row r="107" spans="1:9" s="2" customFormat="1" x14ac:dyDescent="0.3">
      <c r="A107" s="2" t="s">
        <v>205</v>
      </c>
      <c r="B107" s="2" t="s">
        <v>109</v>
      </c>
      <c r="D107" t="s">
        <v>60</v>
      </c>
      <c r="E107" s="2">
        <v>1500</v>
      </c>
      <c r="F107" s="2">
        <v>1500</v>
      </c>
      <c r="G107" s="2">
        <f t="shared" si="1"/>
        <v>0</v>
      </c>
      <c r="H107" s="3">
        <v>45699</v>
      </c>
      <c r="I107" s="2" t="s">
        <v>272</v>
      </c>
    </row>
    <row r="108" spans="1:9" s="2" customFormat="1" ht="43.2" x14ac:dyDescent="0.3">
      <c r="A108" s="2" t="s">
        <v>206</v>
      </c>
      <c r="B108" s="2" t="s">
        <v>98</v>
      </c>
      <c r="C108" s="2" t="s">
        <v>203</v>
      </c>
      <c r="D108" s="10" t="s">
        <v>200</v>
      </c>
      <c r="E108" s="2">
        <v>10000</v>
      </c>
      <c r="F108" s="2">
        <v>10000</v>
      </c>
      <c r="G108" s="2">
        <f t="shared" si="1"/>
        <v>0</v>
      </c>
      <c r="H108" s="3">
        <v>45699</v>
      </c>
      <c r="I108" s="2" t="s">
        <v>272</v>
      </c>
    </row>
    <row r="109" spans="1:9" s="2" customFormat="1" ht="28.8" x14ac:dyDescent="0.3">
      <c r="A109" s="2" t="s">
        <v>215</v>
      </c>
      <c r="B109" s="2" t="s">
        <v>213</v>
      </c>
      <c r="C109" s="2" t="s">
        <v>211</v>
      </c>
      <c r="D109" s="5" t="s">
        <v>208</v>
      </c>
      <c r="E109" s="2">
        <v>3000</v>
      </c>
      <c r="F109" s="2">
        <v>3000</v>
      </c>
      <c r="G109" s="2">
        <f t="shared" si="1"/>
        <v>0</v>
      </c>
      <c r="H109" s="3">
        <v>45700</v>
      </c>
      <c r="I109" s="2" t="s">
        <v>272</v>
      </c>
    </row>
    <row r="110" spans="1:9" s="2" customFormat="1" x14ac:dyDescent="0.3">
      <c r="A110" s="2" t="s">
        <v>234</v>
      </c>
      <c r="B110" s="2" t="s">
        <v>214</v>
      </c>
      <c r="C110" s="2" t="s">
        <v>212</v>
      </c>
      <c r="D110" t="s">
        <v>209</v>
      </c>
      <c r="E110" s="2">
        <v>2000</v>
      </c>
      <c r="F110" s="2">
        <v>2000</v>
      </c>
      <c r="G110" s="2">
        <f t="shared" si="1"/>
        <v>0</v>
      </c>
      <c r="H110" s="3">
        <v>45700</v>
      </c>
      <c r="I110" s="2" t="s">
        <v>272</v>
      </c>
    </row>
    <row r="111" spans="1:9" s="2" customFormat="1" x14ac:dyDescent="0.3">
      <c r="A111" s="2" t="s">
        <v>216</v>
      </c>
      <c r="D111" t="s">
        <v>210</v>
      </c>
      <c r="E111" s="2">
        <v>1500</v>
      </c>
      <c r="F111" s="2">
        <v>1500</v>
      </c>
      <c r="G111" s="2">
        <f t="shared" si="1"/>
        <v>0</v>
      </c>
      <c r="H111" s="3">
        <v>45700</v>
      </c>
      <c r="I111" s="2" t="s">
        <v>274</v>
      </c>
    </row>
    <row r="112" spans="1:9" s="2" customFormat="1" x14ac:dyDescent="0.3">
      <c r="A112" s="2" t="s">
        <v>218</v>
      </c>
      <c r="B112" s="2" t="s">
        <v>72</v>
      </c>
      <c r="C112" s="2" t="s">
        <v>217</v>
      </c>
      <c r="D112" t="s">
        <v>219</v>
      </c>
      <c r="E112" s="2">
        <v>5000</v>
      </c>
      <c r="F112" s="2">
        <v>5000</v>
      </c>
      <c r="G112" s="2">
        <f t="shared" si="1"/>
        <v>0</v>
      </c>
      <c r="H112" s="3">
        <v>45701</v>
      </c>
      <c r="I112" s="2" t="s">
        <v>272</v>
      </c>
    </row>
    <row r="113" spans="1:9" s="2" customFormat="1" ht="28.8" x14ac:dyDescent="0.3">
      <c r="A113" s="2" t="s">
        <v>57</v>
      </c>
      <c r="B113" s="2" t="s">
        <v>19</v>
      </c>
      <c r="D113" s="5" t="s">
        <v>220</v>
      </c>
      <c r="E113" s="2">
        <v>1500</v>
      </c>
      <c r="F113" s="2">
        <v>1500</v>
      </c>
      <c r="G113" s="2">
        <f t="shared" si="1"/>
        <v>0</v>
      </c>
      <c r="H113" s="3">
        <v>45702</v>
      </c>
      <c r="I113" s="2" t="s">
        <v>272</v>
      </c>
    </row>
    <row r="114" spans="1:9" s="2" customFormat="1" x14ac:dyDescent="0.3">
      <c r="A114" s="2" t="s">
        <v>221</v>
      </c>
      <c r="B114" s="2" t="s">
        <v>223</v>
      </c>
      <c r="D114" t="s">
        <v>224</v>
      </c>
      <c r="E114" s="2">
        <v>7000</v>
      </c>
      <c r="F114" s="2">
        <v>7000</v>
      </c>
      <c r="G114" s="2">
        <f t="shared" si="1"/>
        <v>0</v>
      </c>
      <c r="H114" s="3">
        <v>45703</v>
      </c>
      <c r="I114" s="2" t="s">
        <v>273</v>
      </c>
    </row>
    <row r="115" spans="1:9" s="2" customFormat="1" x14ac:dyDescent="0.3">
      <c r="A115" s="2" t="s">
        <v>222</v>
      </c>
      <c r="B115" s="2" t="s">
        <v>109</v>
      </c>
      <c r="C115" s="2" t="s">
        <v>356</v>
      </c>
      <c r="D115" t="s">
        <v>225</v>
      </c>
      <c r="E115" s="2">
        <v>400</v>
      </c>
      <c r="F115" s="2">
        <v>400</v>
      </c>
      <c r="G115" s="2">
        <f t="shared" si="1"/>
        <v>0</v>
      </c>
      <c r="H115" s="3">
        <v>45703</v>
      </c>
      <c r="I115" s="2" t="s">
        <v>272</v>
      </c>
    </row>
    <row r="116" spans="1:9" s="2" customFormat="1" ht="28.8" x14ac:dyDescent="0.3">
      <c r="A116" s="2" t="s">
        <v>403</v>
      </c>
      <c r="B116" s="2" t="s">
        <v>98</v>
      </c>
      <c r="C116" s="2" t="s">
        <v>404</v>
      </c>
      <c r="D116" s="9" t="s">
        <v>226</v>
      </c>
      <c r="E116" s="2">
        <v>500</v>
      </c>
      <c r="F116" s="2">
        <v>500</v>
      </c>
      <c r="G116" s="2">
        <f t="shared" si="1"/>
        <v>0</v>
      </c>
      <c r="H116" s="3">
        <v>45703</v>
      </c>
      <c r="I116" s="2" t="s">
        <v>272</v>
      </c>
    </row>
    <row r="117" spans="1:9" s="2" customFormat="1" x14ac:dyDescent="0.3">
      <c r="D117" s="7"/>
      <c r="G117" s="2">
        <f t="shared" si="1"/>
        <v>0</v>
      </c>
      <c r="H117" s="3">
        <v>45704</v>
      </c>
      <c r="I117" s="2" t="s">
        <v>272</v>
      </c>
    </row>
    <row r="118" spans="1:9" s="2" customFormat="1" x14ac:dyDescent="0.3">
      <c r="A118" s="2" t="s">
        <v>221</v>
      </c>
      <c r="B118" s="2" t="s">
        <v>223</v>
      </c>
      <c r="D118" t="s">
        <v>227</v>
      </c>
      <c r="E118" s="2">
        <v>600</v>
      </c>
      <c r="F118" s="2">
        <v>600</v>
      </c>
      <c r="G118" s="2">
        <f t="shared" si="1"/>
        <v>0</v>
      </c>
      <c r="H118" s="3">
        <v>45705</v>
      </c>
      <c r="I118" s="2" t="s">
        <v>272</v>
      </c>
    </row>
    <row r="119" spans="1:9" s="2" customFormat="1" x14ac:dyDescent="0.3">
      <c r="A119" s="2" t="s">
        <v>228</v>
      </c>
      <c r="B119" s="2" t="s">
        <v>72</v>
      </c>
      <c r="C119" s="2" t="s">
        <v>230</v>
      </c>
      <c r="D119" t="s">
        <v>229</v>
      </c>
      <c r="E119" s="2">
        <v>1000</v>
      </c>
      <c r="F119" s="2">
        <v>1000</v>
      </c>
      <c r="G119" s="2">
        <f t="shared" si="1"/>
        <v>0</v>
      </c>
      <c r="H119" s="3">
        <v>45705</v>
      </c>
      <c r="I119" s="2" t="s">
        <v>272</v>
      </c>
    </row>
    <row r="120" spans="1:9" s="2" customFormat="1" ht="43.2" x14ac:dyDescent="0.3">
      <c r="A120" s="2" t="s">
        <v>41</v>
      </c>
      <c r="B120" s="2" t="s">
        <v>40</v>
      </c>
      <c r="D120" s="5" t="s">
        <v>231</v>
      </c>
      <c r="E120" s="2">
        <v>6000</v>
      </c>
      <c r="F120" s="2">
        <v>6000</v>
      </c>
      <c r="G120" s="2">
        <f t="shared" si="1"/>
        <v>0</v>
      </c>
      <c r="H120" s="3">
        <v>45706</v>
      </c>
      <c r="I120" s="2" t="s">
        <v>273</v>
      </c>
    </row>
    <row r="121" spans="1:9" s="2" customFormat="1" x14ac:dyDescent="0.3">
      <c r="A121" s="2" t="s">
        <v>183</v>
      </c>
      <c r="B121" s="2" t="s">
        <v>9</v>
      </c>
      <c r="C121" s="2" t="s">
        <v>185</v>
      </c>
      <c r="D121" s="8" t="s">
        <v>121</v>
      </c>
      <c r="E121" s="2">
        <v>500</v>
      </c>
      <c r="F121" s="2">
        <v>500</v>
      </c>
      <c r="G121" s="2">
        <f t="shared" si="1"/>
        <v>0</v>
      </c>
      <c r="H121" s="3">
        <v>45706</v>
      </c>
      <c r="I121" s="2" t="s">
        <v>272</v>
      </c>
    </row>
    <row r="122" spans="1:9" s="2" customFormat="1" x14ac:dyDescent="0.3">
      <c r="A122" s="2" t="s">
        <v>90</v>
      </c>
      <c r="B122" s="2" t="s">
        <v>72</v>
      </c>
      <c r="D122" t="s">
        <v>232</v>
      </c>
      <c r="E122" s="2">
        <v>1000</v>
      </c>
      <c r="F122" s="2">
        <v>1000</v>
      </c>
      <c r="G122" s="2">
        <f t="shared" si="1"/>
        <v>0</v>
      </c>
      <c r="H122" s="3">
        <v>45706</v>
      </c>
      <c r="I122" s="2" t="s">
        <v>272</v>
      </c>
    </row>
    <row r="123" spans="1:9" s="2" customFormat="1" x14ac:dyDescent="0.3">
      <c r="A123" s="2" t="s">
        <v>162</v>
      </c>
      <c r="B123" s="2" t="s">
        <v>109</v>
      </c>
      <c r="D123" t="s">
        <v>235</v>
      </c>
      <c r="E123" s="2">
        <v>200</v>
      </c>
      <c r="F123" s="2">
        <v>200</v>
      </c>
      <c r="G123" s="2">
        <f t="shared" si="1"/>
        <v>0</v>
      </c>
      <c r="H123" s="3">
        <v>45707</v>
      </c>
      <c r="I123" s="2" t="s">
        <v>272</v>
      </c>
    </row>
    <row r="124" spans="1:9" s="2" customFormat="1" x14ac:dyDescent="0.3">
      <c r="A124" s="2" t="s">
        <v>234</v>
      </c>
      <c r="B124" s="2" t="s">
        <v>9</v>
      </c>
      <c r="D124" t="s">
        <v>60</v>
      </c>
      <c r="E124" s="2">
        <v>2000</v>
      </c>
      <c r="F124" s="2">
        <v>2000</v>
      </c>
      <c r="G124" s="2">
        <f t="shared" si="1"/>
        <v>0</v>
      </c>
      <c r="H124" s="3">
        <v>45707</v>
      </c>
      <c r="I124" s="2" t="s">
        <v>272</v>
      </c>
    </row>
    <row r="125" spans="1:9" s="2" customFormat="1" x14ac:dyDescent="0.3">
      <c r="A125" s="2" t="s">
        <v>7</v>
      </c>
      <c r="B125" s="2" t="s">
        <v>233</v>
      </c>
      <c r="D125" t="s">
        <v>236</v>
      </c>
      <c r="E125" s="2">
        <v>100</v>
      </c>
      <c r="F125" s="2">
        <v>100</v>
      </c>
      <c r="G125" s="2">
        <f t="shared" si="1"/>
        <v>0</v>
      </c>
      <c r="H125" s="3">
        <v>45707</v>
      </c>
      <c r="I125" s="2" t="s">
        <v>272</v>
      </c>
    </row>
    <row r="126" spans="1:9" s="2" customFormat="1" x14ac:dyDescent="0.3">
      <c r="A126" s="2" t="s">
        <v>116</v>
      </c>
      <c r="B126" s="2" t="s">
        <v>213</v>
      </c>
      <c r="D126" t="s">
        <v>197</v>
      </c>
      <c r="E126" s="2">
        <v>3000</v>
      </c>
      <c r="F126" s="2">
        <v>3000</v>
      </c>
      <c r="G126" s="2">
        <f t="shared" si="1"/>
        <v>0</v>
      </c>
      <c r="H126" s="3">
        <v>45708</v>
      </c>
      <c r="I126" s="2" t="s">
        <v>272</v>
      </c>
    </row>
    <row r="127" spans="1:9" s="2" customFormat="1" x14ac:dyDescent="0.3">
      <c r="A127" s="2" t="s">
        <v>237</v>
      </c>
      <c r="B127" s="2" t="s">
        <v>239</v>
      </c>
      <c r="D127" t="s">
        <v>238</v>
      </c>
      <c r="E127" s="2">
        <v>22500</v>
      </c>
      <c r="F127" s="2">
        <v>22500</v>
      </c>
      <c r="G127" s="2">
        <f t="shared" ref="G127:G142" si="2">E127-F127</f>
        <v>0</v>
      </c>
      <c r="H127" s="3">
        <v>45708</v>
      </c>
      <c r="I127" s="2" t="s">
        <v>273</v>
      </c>
    </row>
    <row r="128" spans="1:9" s="2" customFormat="1" x14ac:dyDescent="0.3">
      <c r="A128" s="2" t="s">
        <v>218</v>
      </c>
      <c r="B128" s="2" t="s">
        <v>72</v>
      </c>
      <c r="C128" s="2" t="s">
        <v>241</v>
      </c>
      <c r="D128" t="s">
        <v>240</v>
      </c>
      <c r="E128" s="2">
        <v>15000</v>
      </c>
      <c r="F128" s="2">
        <v>15000</v>
      </c>
      <c r="G128" s="2">
        <f t="shared" si="2"/>
        <v>0</v>
      </c>
      <c r="H128" s="3">
        <v>45709</v>
      </c>
      <c r="I128" s="2" t="s">
        <v>273</v>
      </c>
    </row>
    <row r="129" spans="1:9" s="2" customFormat="1" ht="28.8" x14ac:dyDescent="0.3">
      <c r="A129" s="2" t="s">
        <v>321</v>
      </c>
      <c r="B129" s="2" t="s">
        <v>30</v>
      </c>
      <c r="D129" s="10" t="s">
        <v>266</v>
      </c>
      <c r="E129" s="2">
        <v>1200</v>
      </c>
      <c r="F129" s="2">
        <v>1200</v>
      </c>
      <c r="G129" s="2">
        <f t="shared" si="2"/>
        <v>0</v>
      </c>
      <c r="H129" s="3">
        <v>45709</v>
      </c>
      <c r="I129" s="2" t="s">
        <v>272</v>
      </c>
    </row>
    <row r="130" spans="1:9" s="2" customFormat="1" x14ac:dyDescent="0.3">
      <c r="A130" s="2" t="s">
        <v>218</v>
      </c>
      <c r="B130" s="2" t="s">
        <v>72</v>
      </c>
      <c r="C130" s="2" t="s">
        <v>241</v>
      </c>
      <c r="D130" t="s">
        <v>242</v>
      </c>
      <c r="E130" s="2">
        <v>750</v>
      </c>
      <c r="F130" s="2">
        <v>750</v>
      </c>
      <c r="G130" s="2">
        <f t="shared" si="2"/>
        <v>0</v>
      </c>
      <c r="H130" s="3">
        <v>45710</v>
      </c>
      <c r="I130" s="2" t="s">
        <v>272</v>
      </c>
    </row>
    <row r="131" spans="1:9" s="2" customFormat="1" ht="28.8" x14ac:dyDescent="0.3">
      <c r="A131" s="2" t="s">
        <v>120</v>
      </c>
      <c r="B131" s="2" t="s">
        <v>98</v>
      </c>
      <c r="D131" s="10" t="s">
        <v>243</v>
      </c>
      <c r="E131" s="2">
        <v>1500</v>
      </c>
      <c r="F131" s="2">
        <v>1500</v>
      </c>
      <c r="G131" s="2">
        <f t="shared" si="2"/>
        <v>0</v>
      </c>
      <c r="H131" s="3">
        <v>45712</v>
      </c>
      <c r="I131" s="2" t="s">
        <v>272</v>
      </c>
    </row>
    <row r="132" spans="1:9" s="2" customFormat="1" x14ac:dyDescent="0.3">
      <c r="A132" s="2" t="s">
        <v>47</v>
      </c>
      <c r="B132" s="2" t="s">
        <v>30</v>
      </c>
      <c r="C132" s="2" t="s">
        <v>249</v>
      </c>
      <c r="D132" t="s">
        <v>244</v>
      </c>
      <c r="E132" s="2">
        <v>10000</v>
      </c>
      <c r="F132" s="2">
        <v>10000</v>
      </c>
      <c r="G132" s="2">
        <f t="shared" si="2"/>
        <v>0</v>
      </c>
      <c r="H132" s="3">
        <v>45713</v>
      </c>
      <c r="I132" s="2" t="s">
        <v>272</v>
      </c>
    </row>
    <row r="133" spans="1:9" s="2" customFormat="1" x14ac:dyDescent="0.3">
      <c r="A133" s="2" t="s">
        <v>247</v>
      </c>
      <c r="B133" s="2" t="s">
        <v>19</v>
      </c>
      <c r="D133" t="s">
        <v>245</v>
      </c>
      <c r="E133" s="2">
        <v>2000</v>
      </c>
      <c r="F133" s="2">
        <v>2000</v>
      </c>
      <c r="G133" s="2">
        <f t="shared" si="2"/>
        <v>0</v>
      </c>
      <c r="H133" s="3">
        <v>45713</v>
      </c>
      <c r="I133" s="2" t="s">
        <v>272</v>
      </c>
    </row>
    <row r="134" spans="1:9" s="2" customFormat="1" x14ac:dyDescent="0.3">
      <c r="A134" s="2" t="s">
        <v>248</v>
      </c>
      <c r="B134" s="2" t="s">
        <v>14</v>
      </c>
      <c r="D134" t="s">
        <v>246</v>
      </c>
      <c r="E134" s="2">
        <v>500</v>
      </c>
      <c r="F134" s="2">
        <v>500</v>
      </c>
      <c r="G134" s="2">
        <f t="shared" si="2"/>
        <v>0</v>
      </c>
      <c r="H134" s="3">
        <v>45713</v>
      </c>
      <c r="I134" s="2" t="s">
        <v>272</v>
      </c>
    </row>
    <row r="135" spans="1:9" s="2" customFormat="1" ht="43.2" x14ac:dyDescent="0.3">
      <c r="A135" s="2" t="s">
        <v>367</v>
      </c>
      <c r="B135" s="2" t="s">
        <v>72</v>
      </c>
      <c r="D135" s="10" t="s">
        <v>251</v>
      </c>
      <c r="E135" s="2">
        <v>34000</v>
      </c>
      <c r="F135" s="2">
        <v>34000</v>
      </c>
      <c r="G135" s="2">
        <f>E135-F135</f>
        <v>0</v>
      </c>
      <c r="H135" s="3">
        <v>45714</v>
      </c>
      <c r="I135" s="2" t="s">
        <v>273</v>
      </c>
    </row>
    <row r="136" spans="1:9" s="2" customFormat="1" x14ac:dyDescent="0.3">
      <c r="A136" s="2" t="s">
        <v>250</v>
      </c>
      <c r="D136" t="s">
        <v>252</v>
      </c>
      <c r="E136" s="2">
        <v>3000</v>
      </c>
      <c r="F136" s="2">
        <v>3000</v>
      </c>
      <c r="G136" s="2">
        <f t="shared" si="2"/>
        <v>0</v>
      </c>
      <c r="H136" s="3">
        <v>45714</v>
      </c>
      <c r="I136" s="2" t="s">
        <v>274</v>
      </c>
    </row>
    <row r="137" spans="1:9" s="2" customFormat="1" x14ac:dyDescent="0.3">
      <c r="A137" s="2" t="s">
        <v>254</v>
      </c>
      <c r="B137" s="2" t="s">
        <v>257</v>
      </c>
      <c r="C137" s="2" t="s">
        <v>256</v>
      </c>
      <c r="D137" s="8" t="s">
        <v>198</v>
      </c>
      <c r="E137" s="2">
        <v>2300</v>
      </c>
      <c r="F137" s="2">
        <v>2300</v>
      </c>
      <c r="G137" s="2">
        <f t="shared" si="2"/>
        <v>0</v>
      </c>
      <c r="H137" s="3">
        <v>45715</v>
      </c>
      <c r="I137" s="2" t="s">
        <v>272</v>
      </c>
    </row>
    <row r="138" spans="1:9" s="2" customFormat="1" ht="28.8" x14ac:dyDescent="0.3">
      <c r="A138" s="2" t="s">
        <v>255</v>
      </c>
      <c r="B138" s="2" t="s">
        <v>72</v>
      </c>
      <c r="C138" s="2" t="s">
        <v>286</v>
      </c>
      <c r="D138" s="5" t="s">
        <v>253</v>
      </c>
      <c r="E138" s="2">
        <v>1250</v>
      </c>
      <c r="F138" s="2">
        <v>1250</v>
      </c>
      <c r="G138" s="2">
        <f t="shared" si="2"/>
        <v>0</v>
      </c>
      <c r="H138" s="3">
        <v>45715</v>
      </c>
      <c r="I138" s="2" t="s">
        <v>272</v>
      </c>
    </row>
    <row r="139" spans="1:9" s="2" customFormat="1" x14ac:dyDescent="0.3">
      <c r="A139" s="4" t="s">
        <v>228</v>
      </c>
      <c r="B139" s="2" t="s">
        <v>261</v>
      </c>
      <c r="C139" s="2" t="s">
        <v>230</v>
      </c>
      <c r="D139" t="s">
        <v>259</v>
      </c>
      <c r="E139" s="2">
        <v>10000</v>
      </c>
      <c r="F139" s="2">
        <v>10000</v>
      </c>
      <c r="G139" s="2">
        <f t="shared" si="2"/>
        <v>0</v>
      </c>
      <c r="H139" s="3">
        <v>45716</v>
      </c>
      <c r="I139" s="2" t="s">
        <v>272</v>
      </c>
    </row>
    <row r="140" spans="1:9" s="2" customFormat="1" ht="43.2" x14ac:dyDescent="0.3">
      <c r="A140" s="2" t="s">
        <v>258</v>
      </c>
      <c r="B140" s="2" t="s">
        <v>17</v>
      </c>
      <c r="C140" s="2" t="s">
        <v>262</v>
      </c>
      <c r="D140" s="10" t="s">
        <v>260</v>
      </c>
      <c r="E140" s="2">
        <v>3500</v>
      </c>
      <c r="F140" s="2">
        <v>3500</v>
      </c>
      <c r="G140" s="2">
        <f t="shared" si="2"/>
        <v>0</v>
      </c>
      <c r="H140" s="3">
        <v>45716</v>
      </c>
      <c r="I140" s="2" t="s">
        <v>272</v>
      </c>
    </row>
    <row r="141" spans="1:9" s="2" customFormat="1" x14ac:dyDescent="0.3">
      <c r="A141" s="2" t="s">
        <v>264</v>
      </c>
      <c r="B141" s="2" t="s">
        <v>263</v>
      </c>
      <c r="C141" s="2" t="s">
        <v>290</v>
      </c>
      <c r="D141" s="7" t="s">
        <v>148</v>
      </c>
      <c r="G141" s="2">
        <f t="shared" si="2"/>
        <v>0</v>
      </c>
      <c r="H141" s="3">
        <v>45717</v>
      </c>
      <c r="I141" s="2" t="s">
        <v>272</v>
      </c>
    </row>
    <row r="142" spans="1:9" s="2" customFormat="1" x14ac:dyDescent="0.3">
      <c r="A142" s="2" t="s">
        <v>322</v>
      </c>
      <c r="B142" s="2" t="s">
        <v>19</v>
      </c>
      <c r="D142" s="7" t="s">
        <v>189</v>
      </c>
      <c r="E142" s="2">
        <v>1000</v>
      </c>
      <c r="F142" s="2">
        <v>1000</v>
      </c>
      <c r="G142" s="2">
        <f t="shared" si="2"/>
        <v>0</v>
      </c>
      <c r="H142" s="3">
        <v>45719</v>
      </c>
      <c r="I142" s="2" t="s">
        <v>272</v>
      </c>
    </row>
    <row r="143" spans="1:9" s="2" customFormat="1" ht="28.8" x14ac:dyDescent="0.3">
      <c r="A143" s="2" t="s">
        <v>275</v>
      </c>
      <c r="B143" s="2" t="s">
        <v>59</v>
      </c>
      <c r="C143" s="2" t="s">
        <v>276</v>
      </c>
      <c r="D143" s="5" t="s">
        <v>277</v>
      </c>
      <c r="E143" s="2">
        <v>500</v>
      </c>
      <c r="F143" s="2">
        <v>500</v>
      </c>
      <c r="G143" s="2">
        <f t="shared" ref="G143:G158" si="3">E143-F143</f>
        <v>0</v>
      </c>
      <c r="H143" s="3">
        <v>45720</v>
      </c>
      <c r="I143" s="2" t="s">
        <v>272</v>
      </c>
    </row>
    <row r="144" spans="1:9" s="2" customFormat="1" x14ac:dyDescent="0.3">
      <c r="A144" s="2" t="s">
        <v>120</v>
      </c>
      <c r="B144" s="2" t="s">
        <v>30</v>
      </c>
      <c r="C144" s="2" t="s">
        <v>278</v>
      </c>
      <c r="D144" s="7" t="s">
        <v>60</v>
      </c>
      <c r="E144" s="2">
        <v>1500</v>
      </c>
      <c r="F144" s="2">
        <v>1500</v>
      </c>
      <c r="G144" s="2">
        <f t="shared" si="3"/>
        <v>0</v>
      </c>
      <c r="H144" s="3">
        <v>45720</v>
      </c>
      <c r="I144" s="2" t="s">
        <v>272</v>
      </c>
    </row>
    <row r="145" spans="1:9" s="2" customFormat="1" x14ac:dyDescent="0.3">
      <c r="A145" s="2" t="s">
        <v>279</v>
      </c>
      <c r="B145" s="2" t="s">
        <v>9</v>
      </c>
      <c r="D145" s="7" t="s">
        <v>280</v>
      </c>
      <c r="E145" s="2">
        <v>300</v>
      </c>
      <c r="F145" s="2">
        <v>300</v>
      </c>
      <c r="G145" s="2">
        <f t="shared" si="3"/>
        <v>0</v>
      </c>
      <c r="H145" s="3">
        <v>45721</v>
      </c>
      <c r="I145" s="2" t="s">
        <v>272</v>
      </c>
    </row>
    <row r="146" spans="1:9" s="2" customFormat="1" ht="28.8" x14ac:dyDescent="0.3">
      <c r="A146" s="2" t="s">
        <v>186</v>
      </c>
      <c r="B146" s="2" t="s">
        <v>144</v>
      </c>
      <c r="C146" s="2" t="s">
        <v>281</v>
      </c>
      <c r="D146" s="5" t="s">
        <v>282</v>
      </c>
      <c r="E146" s="2">
        <v>3500</v>
      </c>
      <c r="F146" s="2">
        <v>3500</v>
      </c>
      <c r="G146" s="2">
        <f t="shared" si="3"/>
        <v>0</v>
      </c>
      <c r="H146" s="3">
        <v>45722</v>
      </c>
      <c r="I146" s="2" t="s">
        <v>272</v>
      </c>
    </row>
    <row r="147" spans="1:9" s="2" customFormat="1" x14ac:dyDescent="0.3">
      <c r="A147" s="2" t="s">
        <v>283</v>
      </c>
      <c r="B147" s="2" t="s">
        <v>14</v>
      </c>
      <c r="C147" s="2" t="s">
        <v>284</v>
      </c>
      <c r="D147" s="5" t="s">
        <v>285</v>
      </c>
      <c r="E147" s="2">
        <v>20000</v>
      </c>
      <c r="F147" s="2">
        <v>20000</v>
      </c>
      <c r="G147" s="2">
        <f t="shared" si="3"/>
        <v>0</v>
      </c>
      <c r="H147" s="3">
        <v>45722</v>
      </c>
      <c r="I147" s="2" t="s">
        <v>272</v>
      </c>
    </row>
    <row r="148" spans="1:9" s="2" customFormat="1" x14ac:dyDescent="0.3">
      <c r="A148" s="2" t="s">
        <v>255</v>
      </c>
      <c r="B148" s="2" t="s">
        <v>72</v>
      </c>
      <c r="C148" s="2" t="s">
        <v>286</v>
      </c>
      <c r="D148" s="7" t="s">
        <v>287</v>
      </c>
      <c r="E148" s="2">
        <v>20750</v>
      </c>
      <c r="F148" s="2">
        <v>20750</v>
      </c>
      <c r="G148" s="2">
        <f t="shared" si="3"/>
        <v>0</v>
      </c>
      <c r="H148" s="3">
        <v>45723</v>
      </c>
      <c r="I148" s="2" t="s">
        <v>273</v>
      </c>
    </row>
    <row r="149" spans="1:9" s="2" customFormat="1" x14ac:dyDescent="0.3">
      <c r="A149" s="2" t="s">
        <v>146</v>
      </c>
      <c r="B149" s="2" t="s">
        <v>308</v>
      </c>
      <c r="D149" s="7" t="s">
        <v>287</v>
      </c>
      <c r="E149" s="2">
        <v>12000</v>
      </c>
      <c r="F149" s="2">
        <v>12000</v>
      </c>
      <c r="G149" s="2">
        <f t="shared" si="3"/>
        <v>0</v>
      </c>
      <c r="H149" s="3">
        <v>45724</v>
      </c>
      <c r="I149" s="2" t="s">
        <v>272</v>
      </c>
    </row>
    <row r="150" spans="1:9" s="2" customFormat="1" x14ac:dyDescent="0.3">
      <c r="A150" s="2" t="s">
        <v>288</v>
      </c>
      <c r="B150" s="2" t="s">
        <v>44</v>
      </c>
      <c r="C150" s="2" t="s">
        <v>289</v>
      </c>
      <c r="D150" s="7" t="s">
        <v>126</v>
      </c>
      <c r="E150" s="2">
        <v>9500</v>
      </c>
      <c r="F150" s="2">
        <v>9500</v>
      </c>
      <c r="G150" s="2">
        <f t="shared" si="3"/>
        <v>0</v>
      </c>
      <c r="H150" s="3">
        <v>45726</v>
      </c>
      <c r="I150" s="2" t="s">
        <v>272</v>
      </c>
    </row>
    <row r="151" spans="1:9" s="2" customFormat="1" ht="86.4" x14ac:dyDescent="0.3">
      <c r="A151" s="2" t="s">
        <v>264</v>
      </c>
      <c r="B151" s="2" t="s">
        <v>263</v>
      </c>
      <c r="C151" s="2" t="s">
        <v>290</v>
      </c>
      <c r="D151" s="5" t="s">
        <v>291</v>
      </c>
      <c r="E151" s="2">
        <v>87000</v>
      </c>
      <c r="F151" s="2">
        <v>87000</v>
      </c>
      <c r="G151" s="2">
        <f t="shared" si="3"/>
        <v>0</v>
      </c>
      <c r="H151" s="3">
        <v>45727</v>
      </c>
      <c r="I151" s="2" t="s">
        <v>273</v>
      </c>
    </row>
    <row r="152" spans="1:9" s="2" customFormat="1" x14ac:dyDescent="0.3">
      <c r="A152" s="2" t="s">
        <v>146</v>
      </c>
      <c r="B152" s="2" t="s">
        <v>144</v>
      </c>
      <c r="D152" s="7" t="s">
        <v>304</v>
      </c>
      <c r="E152" s="2">
        <v>48000</v>
      </c>
      <c r="F152" s="2">
        <v>48000</v>
      </c>
      <c r="G152" s="2">
        <f t="shared" si="3"/>
        <v>0</v>
      </c>
      <c r="H152" s="3">
        <v>45728</v>
      </c>
      <c r="I152" s="2" t="s">
        <v>273</v>
      </c>
    </row>
    <row r="153" spans="1:9" s="2" customFormat="1" ht="28.8" x14ac:dyDescent="0.3">
      <c r="A153" s="2" t="s">
        <v>292</v>
      </c>
      <c r="B153" s="2" t="s">
        <v>9</v>
      </c>
      <c r="C153" s="2" t="s">
        <v>293</v>
      </c>
      <c r="D153" s="5" t="s">
        <v>294</v>
      </c>
      <c r="E153" s="2">
        <v>2000</v>
      </c>
      <c r="F153" s="2">
        <v>2000</v>
      </c>
      <c r="G153" s="2">
        <f>E153-F153</f>
        <v>0</v>
      </c>
      <c r="H153" s="3">
        <v>45728</v>
      </c>
      <c r="I153" s="2" t="s">
        <v>272</v>
      </c>
    </row>
    <row r="154" spans="1:9" s="2" customFormat="1" ht="43.2" x14ac:dyDescent="0.3">
      <c r="A154" s="2" t="s">
        <v>295</v>
      </c>
      <c r="B154" s="2" t="s">
        <v>17</v>
      </c>
      <c r="C154" s="2" t="s">
        <v>470</v>
      </c>
      <c r="D154" s="5" t="s">
        <v>296</v>
      </c>
      <c r="E154" s="2">
        <v>4000</v>
      </c>
      <c r="F154" s="2">
        <v>4000</v>
      </c>
      <c r="G154" s="2">
        <f t="shared" si="3"/>
        <v>0</v>
      </c>
      <c r="H154" s="3">
        <v>45729</v>
      </c>
      <c r="I154" s="2" t="s">
        <v>272</v>
      </c>
    </row>
    <row r="155" spans="1:9" s="2" customFormat="1" ht="28.8" x14ac:dyDescent="0.3">
      <c r="A155" s="2" t="s">
        <v>297</v>
      </c>
      <c r="B155" s="2" t="s">
        <v>298</v>
      </c>
      <c r="C155" s="2" t="s">
        <v>299</v>
      </c>
      <c r="D155" s="5" t="s">
        <v>10</v>
      </c>
      <c r="E155" s="2">
        <v>15000</v>
      </c>
      <c r="F155" s="2">
        <v>15000</v>
      </c>
      <c r="G155" s="2">
        <f t="shared" si="3"/>
        <v>0</v>
      </c>
      <c r="H155" s="3">
        <v>45731</v>
      </c>
      <c r="I155" s="2" t="s">
        <v>272</v>
      </c>
    </row>
    <row r="156" spans="1:9" s="2" customFormat="1" ht="28.8" x14ac:dyDescent="0.3">
      <c r="A156" s="2" t="s">
        <v>300</v>
      </c>
      <c r="B156" s="2" t="s">
        <v>14</v>
      </c>
      <c r="C156" s="2" t="s">
        <v>301</v>
      </c>
      <c r="D156" s="5" t="s">
        <v>302</v>
      </c>
      <c r="E156" s="2">
        <v>85000</v>
      </c>
      <c r="F156" s="2">
        <v>75000</v>
      </c>
      <c r="G156" s="2">
        <f t="shared" si="3"/>
        <v>10000</v>
      </c>
      <c r="H156" s="3">
        <v>45731</v>
      </c>
      <c r="I156" s="2" t="s">
        <v>273</v>
      </c>
    </row>
    <row r="157" spans="1:9" s="2" customFormat="1" x14ac:dyDescent="0.3">
      <c r="A157" s="2" t="s">
        <v>303</v>
      </c>
      <c r="B157" s="2" t="s">
        <v>72</v>
      </c>
      <c r="D157" s="7" t="s">
        <v>304</v>
      </c>
      <c r="E157" s="2">
        <v>65000</v>
      </c>
      <c r="F157" s="2">
        <v>65000</v>
      </c>
      <c r="G157" s="2">
        <f t="shared" si="3"/>
        <v>0</v>
      </c>
      <c r="H157" s="3">
        <v>45731</v>
      </c>
      <c r="I157" s="2" t="s">
        <v>274</v>
      </c>
    </row>
    <row r="158" spans="1:9" s="2" customFormat="1" x14ac:dyDescent="0.3">
      <c r="A158" s="2" t="s">
        <v>305</v>
      </c>
      <c r="B158" s="2" t="s">
        <v>35</v>
      </c>
      <c r="C158" s="2" t="s">
        <v>306</v>
      </c>
      <c r="D158" s="7" t="s">
        <v>307</v>
      </c>
      <c r="E158" s="2">
        <v>2000</v>
      </c>
      <c r="F158" s="2">
        <v>2000</v>
      </c>
      <c r="G158" s="2">
        <f t="shared" si="3"/>
        <v>0</v>
      </c>
      <c r="H158" s="3">
        <v>45731</v>
      </c>
      <c r="I158" s="2" t="s">
        <v>272</v>
      </c>
    </row>
    <row r="159" spans="1:9" s="2" customFormat="1" ht="28.8" x14ac:dyDescent="0.3">
      <c r="A159" s="2" t="s">
        <v>309</v>
      </c>
      <c r="B159" s="2" t="s">
        <v>310</v>
      </c>
      <c r="C159" s="2" t="s">
        <v>311</v>
      </c>
      <c r="D159" s="5" t="s">
        <v>312</v>
      </c>
      <c r="E159" s="2">
        <v>30000</v>
      </c>
      <c r="F159" s="2">
        <v>30000</v>
      </c>
      <c r="G159" s="2">
        <f t="shared" ref="G159:G174" si="4">E159-F159</f>
        <v>0</v>
      </c>
      <c r="H159" s="3">
        <v>45735</v>
      </c>
      <c r="I159" s="2" t="s">
        <v>273</v>
      </c>
    </row>
    <row r="160" spans="1:9" s="2" customFormat="1" ht="28.8" x14ac:dyDescent="0.3">
      <c r="A160" s="12" t="s">
        <v>478</v>
      </c>
      <c r="B160" s="2" t="s">
        <v>59</v>
      </c>
      <c r="C160" s="2" t="s">
        <v>313</v>
      </c>
      <c r="D160" s="7" t="s">
        <v>160</v>
      </c>
      <c r="E160" s="2">
        <v>600</v>
      </c>
      <c r="F160" s="2">
        <v>600</v>
      </c>
      <c r="G160" s="2">
        <f t="shared" si="4"/>
        <v>0</v>
      </c>
      <c r="H160" s="3">
        <v>45736</v>
      </c>
      <c r="I160" s="2" t="s">
        <v>272</v>
      </c>
    </row>
    <row r="161" spans="1:9" s="2" customFormat="1" ht="57.6" x14ac:dyDescent="0.3">
      <c r="A161" s="2" t="s">
        <v>31</v>
      </c>
      <c r="B161" s="2" t="s">
        <v>72</v>
      </c>
      <c r="C161" s="2" t="s">
        <v>145</v>
      </c>
      <c r="D161" s="5" t="s">
        <v>314</v>
      </c>
      <c r="E161" s="2">
        <v>7000</v>
      </c>
      <c r="F161" s="2">
        <v>7000</v>
      </c>
      <c r="G161" s="2">
        <f t="shared" si="4"/>
        <v>0</v>
      </c>
      <c r="H161" s="3">
        <v>45736</v>
      </c>
      <c r="I161" s="2" t="s">
        <v>273</v>
      </c>
    </row>
    <row r="162" spans="1:9" s="2" customFormat="1" ht="28.8" x14ac:dyDescent="0.3">
      <c r="A162" s="2" t="s">
        <v>315</v>
      </c>
      <c r="B162" s="2" t="s">
        <v>99</v>
      </c>
      <c r="C162" s="2" t="s">
        <v>316</v>
      </c>
      <c r="D162" s="5" t="s">
        <v>317</v>
      </c>
      <c r="E162" s="2">
        <v>3500</v>
      </c>
      <c r="F162" s="2">
        <v>3500</v>
      </c>
      <c r="G162" s="2">
        <f t="shared" si="4"/>
        <v>0</v>
      </c>
      <c r="H162" s="3">
        <v>45737</v>
      </c>
      <c r="I162" s="2" t="s">
        <v>273</v>
      </c>
    </row>
    <row r="163" spans="1:9" s="2" customFormat="1" x14ac:dyDescent="0.3">
      <c r="A163" s="2" t="s">
        <v>218</v>
      </c>
      <c r="B163" s="2" t="s">
        <v>318</v>
      </c>
      <c r="C163" s="2" t="s">
        <v>319</v>
      </c>
      <c r="D163" s="7" t="s">
        <v>320</v>
      </c>
      <c r="E163" s="2">
        <v>500</v>
      </c>
      <c r="F163" s="2">
        <v>500</v>
      </c>
      <c r="G163" s="2">
        <f t="shared" si="4"/>
        <v>0</v>
      </c>
      <c r="H163" s="3">
        <v>45738</v>
      </c>
      <c r="I163" s="2" t="s">
        <v>272</v>
      </c>
    </row>
    <row r="164" spans="1:9" s="2" customFormat="1" x14ac:dyDescent="0.3">
      <c r="A164" s="2" t="s">
        <v>204</v>
      </c>
      <c r="B164" s="2" t="s">
        <v>329</v>
      </c>
      <c r="C164" s="2" t="s">
        <v>324</v>
      </c>
      <c r="D164" s="7" t="s">
        <v>285</v>
      </c>
      <c r="E164" s="2">
        <v>19000</v>
      </c>
      <c r="F164" s="2">
        <v>19000</v>
      </c>
      <c r="G164" s="2">
        <f t="shared" si="4"/>
        <v>0</v>
      </c>
      <c r="H164" s="3">
        <v>45741</v>
      </c>
      <c r="I164" s="2" t="s">
        <v>272</v>
      </c>
    </row>
    <row r="165" spans="1:9" s="2" customFormat="1" ht="28.8" x14ac:dyDescent="0.3">
      <c r="A165" s="2" t="s">
        <v>325</v>
      </c>
      <c r="B165" s="2" t="s">
        <v>326</v>
      </c>
      <c r="C165" s="2" t="s">
        <v>327</v>
      </c>
      <c r="D165" s="5" t="s">
        <v>328</v>
      </c>
      <c r="E165" s="2">
        <v>3000</v>
      </c>
      <c r="F165" s="2">
        <v>3000</v>
      </c>
      <c r="G165" s="2">
        <f t="shared" si="4"/>
        <v>0</v>
      </c>
      <c r="H165" s="3">
        <v>45741</v>
      </c>
      <c r="I165" s="2" t="s">
        <v>272</v>
      </c>
    </row>
    <row r="166" spans="1:9" s="2" customFormat="1" x14ac:dyDescent="0.3">
      <c r="A166" s="2" t="s">
        <v>397</v>
      </c>
      <c r="B166" s="2" t="s">
        <v>323</v>
      </c>
      <c r="C166" s="2" t="s">
        <v>398</v>
      </c>
      <c r="D166" s="7" t="s">
        <v>60</v>
      </c>
      <c r="E166" s="2">
        <v>1500</v>
      </c>
      <c r="F166" s="2">
        <v>1500</v>
      </c>
      <c r="G166" s="2">
        <f t="shared" si="4"/>
        <v>0</v>
      </c>
      <c r="H166" s="3">
        <v>45741</v>
      </c>
      <c r="I166" s="2" t="s">
        <v>272</v>
      </c>
    </row>
    <row r="167" spans="1:9" s="2" customFormat="1" ht="28.8" x14ac:dyDescent="0.3">
      <c r="A167" s="2" t="s">
        <v>330</v>
      </c>
      <c r="B167" s="2" t="s">
        <v>9</v>
      </c>
      <c r="C167" s="2" t="s">
        <v>331</v>
      </c>
      <c r="D167" s="5" t="s">
        <v>332</v>
      </c>
      <c r="E167" s="2">
        <v>25000</v>
      </c>
      <c r="F167" s="2">
        <v>25000</v>
      </c>
      <c r="G167" s="2">
        <f t="shared" si="4"/>
        <v>0</v>
      </c>
      <c r="H167" s="3">
        <v>45742</v>
      </c>
      <c r="I167" s="2" t="s">
        <v>273</v>
      </c>
    </row>
    <row r="168" spans="1:9" s="2" customFormat="1" x14ac:dyDescent="0.3">
      <c r="A168" s="2" t="s">
        <v>49</v>
      </c>
      <c r="B168" s="2" t="s">
        <v>14</v>
      </c>
      <c r="C168" s="2" t="s">
        <v>104</v>
      </c>
      <c r="D168" s="7" t="s">
        <v>343</v>
      </c>
      <c r="E168" s="2">
        <v>10000</v>
      </c>
      <c r="F168" s="2">
        <v>6000</v>
      </c>
      <c r="G168" s="2">
        <f t="shared" si="4"/>
        <v>4000</v>
      </c>
      <c r="H168" s="3">
        <v>45742</v>
      </c>
      <c r="I168" s="2" t="s">
        <v>273</v>
      </c>
    </row>
    <row r="169" spans="1:9" s="2" customFormat="1" ht="28.8" x14ac:dyDescent="0.3">
      <c r="A169" s="2" t="s">
        <v>333</v>
      </c>
      <c r="B169" s="2" t="s">
        <v>334</v>
      </c>
      <c r="C169" s="2" t="s">
        <v>335</v>
      </c>
      <c r="D169" s="5" t="s">
        <v>336</v>
      </c>
      <c r="E169" s="2">
        <v>25000</v>
      </c>
      <c r="F169" s="2">
        <v>25000</v>
      </c>
      <c r="G169" s="2">
        <f t="shared" si="4"/>
        <v>0</v>
      </c>
      <c r="H169" s="3">
        <v>45743</v>
      </c>
      <c r="I169" s="2" t="s">
        <v>272</v>
      </c>
    </row>
    <row r="170" spans="1:9" s="2" customFormat="1" ht="28.8" x14ac:dyDescent="0.3">
      <c r="A170" s="2" t="s">
        <v>337</v>
      </c>
      <c r="B170" s="2" t="s">
        <v>72</v>
      </c>
      <c r="C170" s="2" t="s">
        <v>338</v>
      </c>
      <c r="D170" s="5" t="s">
        <v>339</v>
      </c>
      <c r="E170" s="2">
        <v>12000</v>
      </c>
      <c r="F170" s="2">
        <v>12000</v>
      </c>
      <c r="G170" s="2">
        <f t="shared" si="4"/>
        <v>0</v>
      </c>
      <c r="H170" s="3">
        <v>45744</v>
      </c>
      <c r="I170" s="2" t="s">
        <v>272</v>
      </c>
    </row>
    <row r="171" spans="1:9" s="2" customFormat="1" x14ac:dyDescent="0.3">
      <c r="A171" s="2" t="s">
        <v>21</v>
      </c>
      <c r="B171" s="2" t="s">
        <v>17</v>
      </c>
      <c r="C171" s="2" t="s">
        <v>340</v>
      </c>
      <c r="D171" s="7" t="s">
        <v>160</v>
      </c>
      <c r="E171" s="2">
        <v>500</v>
      </c>
      <c r="F171" s="2">
        <v>500</v>
      </c>
      <c r="G171" s="2">
        <f t="shared" si="4"/>
        <v>0</v>
      </c>
      <c r="H171" s="3">
        <v>45744</v>
      </c>
      <c r="I171" s="2" t="s">
        <v>272</v>
      </c>
    </row>
    <row r="172" spans="1:9" s="2" customFormat="1" x14ac:dyDescent="0.3">
      <c r="A172" s="2" t="s">
        <v>330</v>
      </c>
      <c r="B172" s="2" t="s">
        <v>9</v>
      </c>
      <c r="C172" s="2" t="s">
        <v>331</v>
      </c>
      <c r="D172" s="7" t="s">
        <v>60</v>
      </c>
      <c r="E172" s="2">
        <v>1600</v>
      </c>
      <c r="F172" s="2">
        <v>1600</v>
      </c>
      <c r="G172" s="2">
        <f t="shared" si="4"/>
        <v>0</v>
      </c>
      <c r="H172" s="3">
        <v>45745</v>
      </c>
      <c r="I172" s="2" t="s">
        <v>272</v>
      </c>
    </row>
    <row r="173" spans="1:9" s="2" customFormat="1" x14ac:dyDescent="0.3">
      <c r="A173" s="2" t="s">
        <v>341</v>
      </c>
      <c r="B173" s="2" t="s">
        <v>19</v>
      </c>
      <c r="C173" s="2" t="s">
        <v>342</v>
      </c>
      <c r="D173" s="7" t="s">
        <v>60</v>
      </c>
      <c r="E173" s="2">
        <v>1500</v>
      </c>
      <c r="F173" s="2">
        <v>1500</v>
      </c>
      <c r="G173" s="2">
        <f t="shared" si="4"/>
        <v>0</v>
      </c>
      <c r="H173" s="3">
        <v>45745</v>
      </c>
      <c r="I173" s="2" t="s">
        <v>272</v>
      </c>
    </row>
    <row r="174" spans="1:9" s="2" customFormat="1" x14ac:dyDescent="0.3">
      <c r="A174" s="2" t="s">
        <v>120</v>
      </c>
      <c r="B174" s="2" t="s">
        <v>98</v>
      </c>
      <c r="C174" s="2" t="s">
        <v>345</v>
      </c>
      <c r="D174" s="7" t="s">
        <v>346</v>
      </c>
      <c r="E174" s="2">
        <v>1500</v>
      </c>
      <c r="F174" s="2">
        <v>1500</v>
      </c>
      <c r="G174" s="2">
        <f t="shared" si="4"/>
        <v>0</v>
      </c>
      <c r="H174" s="3">
        <v>45749</v>
      </c>
      <c r="I174" s="2" t="s">
        <v>272</v>
      </c>
    </row>
    <row r="175" spans="1:9" s="2" customFormat="1" x14ac:dyDescent="0.3">
      <c r="A175" s="2" t="s">
        <v>120</v>
      </c>
      <c r="B175" s="2" t="s">
        <v>347</v>
      </c>
      <c r="C175" s="2" t="s">
        <v>350</v>
      </c>
      <c r="D175" s="7" t="s">
        <v>348</v>
      </c>
      <c r="E175" s="2">
        <v>10000</v>
      </c>
      <c r="F175" s="2">
        <v>10000</v>
      </c>
      <c r="G175" s="2">
        <f t="shared" ref="G175:G182" si="5">E175-F175</f>
        <v>0</v>
      </c>
      <c r="H175" s="3">
        <v>45749</v>
      </c>
      <c r="I175" s="2" t="s">
        <v>272</v>
      </c>
    </row>
    <row r="176" spans="1:9" s="2" customFormat="1" x14ac:dyDescent="0.3">
      <c r="A176" s="2" t="s">
        <v>21</v>
      </c>
      <c r="B176" s="2" t="s">
        <v>19</v>
      </c>
      <c r="C176" s="2" t="s">
        <v>349</v>
      </c>
      <c r="D176" s="7" t="s">
        <v>85</v>
      </c>
      <c r="E176" s="2">
        <v>1500</v>
      </c>
      <c r="F176" s="2">
        <v>1500</v>
      </c>
      <c r="G176" s="2">
        <f t="shared" si="5"/>
        <v>0</v>
      </c>
      <c r="H176" s="3">
        <v>45750</v>
      </c>
      <c r="I176" s="2" t="s">
        <v>272</v>
      </c>
    </row>
    <row r="177" spans="1:9" s="2" customFormat="1" x14ac:dyDescent="0.3">
      <c r="A177" s="2" t="s">
        <v>351</v>
      </c>
      <c r="B177" s="2" t="s">
        <v>223</v>
      </c>
      <c r="C177" s="2" t="s">
        <v>352</v>
      </c>
      <c r="D177" s="7" t="s">
        <v>353</v>
      </c>
      <c r="E177" s="2">
        <v>1000</v>
      </c>
      <c r="F177" s="2">
        <v>1000</v>
      </c>
      <c r="G177" s="2">
        <f t="shared" si="5"/>
        <v>0</v>
      </c>
      <c r="H177" s="3">
        <v>45750</v>
      </c>
      <c r="I177" s="2" t="s">
        <v>272</v>
      </c>
    </row>
    <row r="178" spans="1:9" s="2" customFormat="1" x14ac:dyDescent="0.3">
      <c r="A178" s="2" t="s">
        <v>135</v>
      </c>
      <c r="D178" s="7" t="s">
        <v>363</v>
      </c>
      <c r="E178" s="2">
        <v>1250</v>
      </c>
      <c r="F178" s="2">
        <v>1250</v>
      </c>
      <c r="G178" s="2">
        <f>E178-F178</f>
        <v>0</v>
      </c>
      <c r="H178" s="3">
        <v>45751</v>
      </c>
      <c r="I178" s="2" t="s">
        <v>274</v>
      </c>
    </row>
    <row r="179" spans="1:9" s="2" customFormat="1" x14ac:dyDescent="0.3">
      <c r="A179" s="2" t="s">
        <v>354</v>
      </c>
      <c r="B179" s="2" t="s">
        <v>99</v>
      </c>
      <c r="C179" s="2" t="s">
        <v>355</v>
      </c>
      <c r="D179" s="7" t="s">
        <v>85</v>
      </c>
      <c r="E179" s="2">
        <v>600</v>
      </c>
      <c r="F179" s="2">
        <v>600</v>
      </c>
      <c r="G179" s="2">
        <f t="shared" si="5"/>
        <v>0</v>
      </c>
      <c r="H179" s="3">
        <v>45752</v>
      </c>
      <c r="I179" s="2" t="s">
        <v>272</v>
      </c>
    </row>
    <row r="180" spans="1:9" s="2" customFormat="1" x14ac:dyDescent="0.3">
      <c r="A180" s="2" t="s">
        <v>222</v>
      </c>
      <c r="B180" s="2" t="s">
        <v>109</v>
      </c>
      <c r="C180" s="2" t="s">
        <v>358</v>
      </c>
      <c r="D180" s="7" t="s">
        <v>357</v>
      </c>
      <c r="E180" s="2">
        <v>500</v>
      </c>
      <c r="F180" s="2">
        <v>500</v>
      </c>
      <c r="G180" s="2">
        <f t="shared" si="5"/>
        <v>0</v>
      </c>
      <c r="H180" s="3">
        <v>45752</v>
      </c>
      <c r="I180" s="2" t="s">
        <v>272</v>
      </c>
    </row>
    <row r="181" spans="1:9" s="2" customFormat="1" ht="43.2" x14ac:dyDescent="0.3">
      <c r="A181" s="2" t="s">
        <v>359</v>
      </c>
      <c r="B181" s="2" t="s">
        <v>329</v>
      </c>
      <c r="C181" s="2" t="s">
        <v>356</v>
      </c>
      <c r="D181" s="5" t="s">
        <v>360</v>
      </c>
      <c r="E181" s="2">
        <v>3000</v>
      </c>
      <c r="F181" s="2">
        <v>3000</v>
      </c>
      <c r="G181" s="2">
        <f t="shared" si="5"/>
        <v>0</v>
      </c>
      <c r="H181" s="3">
        <v>45752</v>
      </c>
      <c r="I181" s="2" t="s">
        <v>272</v>
      </c>
    </row>
    <row r="182" spans="1:9" s="2" customFormat="1" x14ac:dyDescent="0.3">
      <c r="A182" s="2" t="s">
        <v>361</v>
      </c>
      <c r="B182" s="2" t="s">
        <v>19</v>
      </c>
      <c r="D182" s="7" t="s">
        <v>362</v>
      </c>
      <c r="E182" s="2">
        <v>12500</v>
      </c>
      <c r="F182" s="2">
        <v>12500</v>
      </c>
      <c r="G182" s="2">
        <f t="shared" si="5"/>
        <v>0</v>
      </c>
      <c r="H182" s="3">
        <v>45752</v>
      </c>
      <c r="I182" s="2" t="s">
        <v>272</v>
      </c>
    </row>
    <row r="183" spans="1:9" s="2" customFormat="1" ht="28.8" x14ac:dyDescent="0.3">
      <c r="A183" s="2" t="s">
        <v>135</v>
      </c>
      <c r="D183" s="5" t="s">
        <v>364</v>
      </c>
      <c r="E183" s="2">
        <v>1600</v>
      </c>
      <c r="F183" s="2">
        <v>1600</v>
      </c>
      <c r="G183" s="2">
        <f t="shared" ref="G183:G247" si="6">E183-F183</f>
        <v>0</v>
      </c>
      <c r="H183" s="3">
        <v>45754</v>
      </c>
      <c r="I183" s="2" t="s">
        <v>274</v>
      </c>
    </row>
    <row r="184" spans="1:9" s="2" customFormat="1" ht="43.2" x14ac:dyDescent="0.3">
      <c r="A184" s="2" t="s">
        <v>21</v>
      </c>
      <c r="B184" s="2" t="s">
        <v>19</v>
      </c>
      <c r="C184" s="2" t="s">
        <v>202</v>
      </c>
      <c r="D184" s="5" t="s">
        <v>365</v>
      </c>
      <c r="E184" s="2">
        <v>6000</v>
      </c>
      <c r="F184" s="2">
        <v>6000</v>
      </c>
      <c r="G184" s="2">
        <f t="shared" si="6"/>
        <v>0</v>
      </c>
      <c r="H184" s="3">
        <v>45755</v>
      </c>
      <c r="I184" s="2" t="s">
        <v>272</v>
      </c>
    </row>
    <row r="185" spans="1:9" s="2" customFormat="1" x14ac:dyDescent="0.3">
      <c r="A185" s="2" t="s">
        <v>366</v>
      </c>
      <c r="B185" s="2" t="s">
        <v>298</v>
      </c>
      <c r="D185" s="7" t="s">
        <v>197</v>
      </c>
      <c r="E185" s="2">
        <v>2400</v>
      </c>
      <c r="F185" s="2">
        <v>2400</v>
      </c>
      <c r="G185" s="2">
        <f t="shared" si="6"/>
        <v>0</v>
      </c>
      <c r="H185" s="3">
        <v>45756</v>
      </c>
      <c r="I185" s="2" t="s">
        <v>272</v>
      </c>
    </row>
    <row r="186" spans="1:9" s="2" customFormat="1" x14ac:dyDescent="0.3">
      <c r="A186" s="2" t="s">
        <v>300</v>
      </c>
      <c r="B186" s="2" t="s">
        <v>14</v>
      </c>
      <c r="C186" s="2" t="s">
        <v>301</v>
      </c>
      <c r="D186" s="7" t="s">
        <v>60</v>
      </c>
      <c r="E186" s="2">
        <v>1500</v>
      </c>
      <c r="F186" s="2">
        <v>1500</v>
      </c>
      <c r="G186" s="2">
        <f t="shared" si="6"/>
        <v>0</v>
      </c>
      <c r="H186" s="3">
        <v>45756</v>
      </c>
      <c r="I186" s="2" t="s">
        <v>272</v>
      </c>
    </row>
    <row r="187" spans="1:9" s="2" customFormat="1" x14ac:dyDescent="0.3">
      <c r="A187" s="2" t="s">
        <v>206</v>
      </c>
      <c r="B187" s="2" t="s">
        <v>98</v>
      </c>
      <c r="C187" s="2" t="s">
        <v>203</v>
      </c>
      <c r="D187" s="7" t="s">
        <v>60</v>
      </c>
      <c r="E187" s="2">
        <v>1200</v>
      </c>
      <c r="F187" s="2">
        <v>1200</v>
      </c>
      <c r="G187" s="2">
        <f t="shared" si="6"/>
        <v>0</v>
      </c>
      <c r="H187" s="3">
        <v>45757</v>
      </c>
      <c r="I187" s="2" t="s">
        <v>272</v>
      </c>
    </row>
    <row r="188" spans="1:9" s="2" customFormat="1" x14ac:dyDescent="0.3">
      <c r="A188" s="2" t="s">
        <v>255</v>
      </c>
      <c r="B188" s="2" t="s">
        <v>72</v>
      </c>
      <c r="C188" s="2" t="s">
        <v>286</v>
      </c>
      <c r="D188" s="7" t="s">
        <v>372</v>
      </c>
      <c r="E188" s="2">
        <v>1000</v>
      </c>
      <c r="F188" s="2">
        <v>1000</v>
      </c>
      <c r="G188" s="2">
        <f t="shared" si="6"/>
        <v>0</v>
      </c>
      <c r="H188" s="3">
        <v>45758</v>
      </c>
      <c r="I188" s="2" t="s">
        <v>272</v>
      </c>
    </row>
    <row r="189" spans="1:9" s="2" customFormat="1" ht="28.8" x14ac:dyDescent="0.3">
      <c r="A189" s="2" t="s">
        <v>368</v>
      </c>
      <c r="B189" s="2" t="s">
        <v>19</v>
      </c>
      <c r="C189" s="2" t="s">
        <v>369</v>
      </c>
      <c r="D189" s="5" t="s">
        <v>370</v>
      </c>
      <c r="E189" s="2">
        <v>15500</v>
      </c>
      <c r="F189" s="2">
        <v>15500</v>
      </c>
      <c r="G189" s="2">
        <f t="shared" si="6"/>
        <v>0</v>
      </c>
      <c r="H189" s="3">
        <v>45758</v>
      </c>
      <c r="I189" s="2" t="s">
        <v>272</v>
      </c>
    </row>
    <row r="190" spans="1:9" s="2" customFormat="1" x14ac:dyDescent="0.3">
      <c r="A190" s="2" t="s">
        <v>341</v>
      </c>
      <c r="B190" s="2" t="s">
        <v>19</v>
      </c>
      <c r="C190" s="2" t="s">
        <v>342</v>
      </c>
      <c r="D190" s="7" t="s">
        <v>371</v>
      </c>
      <c r="E190" s="2">
        <v>400</v>
      </c>
      <c r="F190" s="2">
        <v>400</v>
      </c>
      <c r="G190" s="2">
        <f t="shared" si="6"/>
        <v>0</v>
      </c>
      <c r="H190" s="3">
        <v>45759</v>
      </c>
      <c r="I190" s="2" t="s">
        <v>272</v>
      </c>
    </row>
    <row r="191" spans="1:9" s="2" customFormat="1" x14ac:dyDescent="0.3">
      <c r="A191" s="2" t="s">
        <v>58</v>
      </c>
      <c r="B191" s="2" t="s">
        <v>109</v>
      </c>
      <c r="C191" s="2" t="s">
        <v>374</v>
      </c>
      <c r="D191" s="7" t="s">
        <v>225</v>
      </c>
      <c r="E191" s="2">
        <v>1000</v>
      </c>
      <c r="F191" s="2">
        <v>1000</v>
      </c>
      <c r="G191" s="2">
        <f t="shared" si="6"/>
        <v>0</v>
      </c>
      <c r="H191" s="3">
        <v>45759</v>
      </c>
      <c r="I191" s="2" t="s">
        <v>272</v>
      </c>
    </row>
    <row r="192" spans="1:9" s="2" customFormat="1" x14ac:dyDescent="0.3">
      <c r="A192" s="2" t="s">
        <v>228</v>
      </c>
      <c r="B192" s="2" t="s">
        <v>72</v>
      </c>
      <c r="C192" s="2" t="s">
        <v>230</v>
      </c>
      <c r="D192" s="7" t="s">
        <v>373</v>
      </c>
      <c r="E192" s="2">
        <v>3500</v>
      </c>
      <c r="F192" s="2">
        <v>3500</v>
      </c>
      <c r="G192" s="2">
        <f t="shared" si="6"/>
        <v>0</v>
      </c>
      <c r="H192" s="3">
        <v>45759</v>
      </c>
      <c r="I192" s="2" t="s">
        <v>272</v>
      </c>
    </row>
    <row r="193" spans="1:9" s="2" customFormat="1" ht="28.8" x14ac:dyDescent="0.3">
      <c r="A193" s="2" t="s">
        <v>100</v>
      </c>
      <c r="B193" s="2" t="s">
        <v>72</v>
      </c>
      <c r="C193" s="2" t="s">
        <v>375</v>
      </c>
      <c r="D193" s="5" t="s">
        <v>376</v>
      </c>
      <c r="E193" s="2">
        <v>1800</v>
      </c>
      <c r="F193" s="2">
        <v>1800</v>
      </c>
      <c r="G193" s="2">
        <f t="shared" si="6"/>
        <v>0</v>
      </c>
      <c r="H193" s="3">
        <v>45761</v>
      </c>
      <c r="I193" s="2" t="s">
        <v>272</v>
      </c>
    </row>
    <row r="194" spans="1:9" s="2" customFormat="1" x14ac:dyDescent="0.3">
      <c r="A194" s="2" t="s">
        <v>377</v>
      </c>
      <c r="B194" s="2" t="s">
        <v>9</v>
      </c>
      <c r="C194" s="2" t="s">
        <v>378</v>
      </c>
      <c r="D194" s="7" t="s">
        <v>380</v>
      </c>
      <c r="E194" s="2">
        <v>1000</v>
      </c>
      <c r="F194" s="2">
        <v>1000</v>
      </c>
      <c r="G194" s="2">
        <f t="shared" si="6"/>
        <v>0</v>
      </c>
      <c r="H194" s="3">
        <v>45761</v>
      </c>
      <c r="I194" s="2" t="s">
        <v>273</v>
      </c>
    </row>
    <row r="195" spans="1:9" s="2" customFormat="1" ht="28.8" x14ac:dyDescent="0.3">
      <c r="A195" s="2" t="s">
        <v>337</v>
      </c>
      <c r="B195" s="2" t="s">
        <v>72</v>
      </c>
      <c r="C195" s="2" t="s">
        <v>338</v>
      </c>
      <c r="D195" s="5" t="s">
        <v>381</v>
      </c>
      <c r="E195" s="2">
        <v>15000</v>
      </c>
      <c r="F195" s="2">
        <v>15000</v>
      </c>
      <c r="G195" s="2">
        <f t="shared" si="6"/>
        <v>0</v>
      </c>
      <c r="H195" s="3">
        <v>45762</v>
      </c>
      <c r="I195" s="2" t="s">
        <v>272</v>
      </c>
    </row>
    <row r="196" spans="1:9" s="2" customFormat="1" x14ac:dyDescent="0.3">
      <c r="A196" s="2" t="s">
        <v>382</v>
      </c>
      <c r="B196" s="2" t="s">
        <v>326</v>
      </c>
      <c r="C196" s="2" t="s">
        <v>383</v>
      </c>
      <c r="D196" s="7" t="s">
        <v>384</v>
      </c>
      <c r="E196" s="2">
        <v>9000</v>
      </c>
      <c r="F196" s="2">
        <v>9000</v>
      </c>
      <c r="G196" s="2">
        <f t="shared" si="6"/>
        <v>0</v>
      </c>
      <c r="H196" s="3">
        <v>45762</v>
      </c>
      <c r="I196" s="2" t="s">
        <v>272</v>
      </c>
    </row>
    <row r="197" spans="1:9" s="2" customFormat="1" x14ac:dyDescent="0.3">
      <c r="A197" s="2" t="s">
        <v>361</v>
      </c>
      <c r="B197" s="2" t="s">
        <v>19</v>
      </c>
      <c r="C197" s="2" t="s">
        <v>385</v>
      </c>
      <c r="D197" s="5" t="s">
        <v>386</v>
      </c>
      <c r="E197" s="2">
        <v>4000</v>
      </c>
      <c r="F197" s="2">
        <v>4000</v>
      </c>
      <c r="G197" s="2">
        <f t="shared" si="6"/>
        <v>0</v>
      </c>
      <c r="H197" s="3">
        <v>45762</v>
      </c>
      <c r="I197" s="2" t="s">
        <v>273</v>
      </c>
    </row>
    <row r="198" spans="1:9" s="2" customFormat="1" x14ac:dyDescent="0.3">
      <c r="A198" s="2" t="s">
        <v>305</v>
      </c>
      <c r="B198" s="2" t="s">
        <v>35</v>
      </c>
      <c r="C198" s="2" t="s">
        <v>387</v>
      </c>
      <c r="D198" s="7" t="s">
        <v>388</v>
      </c>
      <c r="E198" s="2">
        <v>2500</v>
      </c>
      <c r="F198" s="2">
        <v>2500</v>
      </c>
      <c r="G198" s="2">
        <f t="shared" si="6"/>
        <v>0</v>
      </c>
      <c r="H198" s="3">
        <v>45763</v>
      </c>
      <c r="I198" s="2" t="s">
        <v>272</v>
      </c>
    </row>
    <row r="199" spans="1:9" s="2" customFormat="1" x14ac:dyDescent="0.3">
      <c r="A199" s="2" t="s">
        <v>305</v>
      </c>
      <c r="B199" s="2" t="s">
        <v>35</v>
      </c>
      <c r="C199" s="2" t="s">
        <v>387</v>
      </c>
      <c r="D199" s="7" t="s">
        <v>389</v>
      </c>
      <c r="E199" s="2">
        <v>3000</v>
      </c>
      <c r="F199" s="2">
        <v>3000</v>
      </c>
      <c r="G199" s="2">
        <f t="shared" si="6"/>
        <v>0</v>
      </c>
      <c r="H199" s="3">
        <v>45763</v>
      </c>
      <c r="I199" s="2" t="s">
        <v>272</v>
      </c>
    </row>
    <row r="200" spans="1:9" s="2" customFormat="1" x14ac:dyDescent="0.3">
      <c r="A200" s="2" t="s">
        <v>305</v>
      </c>
      <c r="B200" s="2" t="s">
        <v>35</v>
      </c>
      <c r="C200" s="2" t="s">
        <v>387</v>
      </c>
      <c r="D200" s="7" t="s">
        <v>390</v>
      </c>
      <c r="E200" s="2">
        <v>1500</v>
      </c>
      <c r="F200" s="2">
        <v>1500</v>
      </c>
      <c r="G200" s="2">
        <f t="shared" si="6"/>
        <v>0</v>
      </c>
      <c r="H200" s="3">
        <v>45763</v>
      </c>
      <c r="I200" s="2" t="s">
        <v>272</v>
      </c>
    </row>
    <row r="201" spans="1:9" s="2" customFormat="1" x14ac:dyDescent="0.3">
      <c r="A201" s="2" t="s">
        <v>305</v>
      </c>
      <c r="B201" s="2" t="s">
        <v>35</v>
      </c>
      <c r="C201" s="2" t="s">
        <v>387</v>
      </c>
      <c r="D201" s="7" t="s">
        <v>391</v>
      </c>
      <c r="E201" s="2">
        <v>500</v>
      </c>
      <c r="F201" s="2">
        <v>500</v>
      </c>
      <c r="G201" s="2">
        <f t="shared" si="6"/>
        <v>0</v>
      </c>
      <c r="H201" s="3">
        <v>45763</v>
      </c>
      <c r="I201" s="2" t="s">
        <v>272</v>
      </c>
    </row>
    <row r="202" spans="1:9" s="2" customFormat="1" ht="43.2" x14ac:dyDescent="0.3">
      <c r="A202" s="2" t="s">
        <v>36</v>
      </c>
      <c r="B202" s="2" t="s">
        <v>392</v>
      </c>
      <c r="C202" s="2" t="s">
        <v>393</v>
      </c>
      <c r="D202" s="5" t="s">
        <v>394</v>
      </c>
      <c r="E202" s="2">
        <v>1500</v>
      </c>
      <c r="F202" s="2">
        <v>1500</v>
      </c>
      <c r="G202" s="2">
        <f t="shared" si="6"/>
        <v>0</v>
      </c>
      <c r="H202" s="3">
        <v>45764</v>
      </c>
      <c r="I202" s="2" t="s">
        <v>272</v>
      </c>
    </row>
    <row r="203" spans="1:9" s="2" customFormat="1" x14ac:dyDescent="0.3">
      <c r="A203" s="2" t="s">
        <v>368</v>
      </c>
      <c r="B203" s="2" t="s">
        <v>19</v>
      </c>
      <c r="C203" s="2" t="s">
        <v>123</v>
      </c>
      <c r="D203" s="5" t="s">
        <v>395</v>
      </c>
      <c r="E203" s="2">
        <v>3000</v>
      </c>
      <c r="F203" s="2">
        <v>3000</v>
      </c>
      <c r="G203" s="2">
        <f t="shared" si="6"/>
        <v>0</v>
      </c>
      <c r="H203" s="3">
        <v>45764</v>
      </c>
      <c r="I203" s="2" t="s">
        <v>272</v>
      </c>
    </row>
    <row r="204" spans="1:9" s="2" customFormat="1" x14ac:dyDescent="0.3">
      <c r="A204" s="2" t="s">
        <v>366</v>
      </c>
      <c r="B204" s="2" t="s">
        <v>109</v>
      </c>
      <c r="C204" s="2" t="s">
        <v>396</v>
      </c>
      <c r="D204" s="7" t="s">
        <v>160</v>
      </c>
      <c r="E204" s="2">
        <v>500</v>
      </c>
      <c r="F204" s="2">
        <v>500</v>
      </c>
      <c r="G204" s="2">
        <f t="shared" si="6"/>
        <v>0</v>
      </c>
      <c r="H204" s="3">
        <v>45764</v>
      </c>
      <c r="I204" s="2" t="s">
        <v>272</v>
      </c>
    </row>
    <row r="205" spans="1:9" s="2" customFormat="1" x14ac:dyDescent="0.3">
      <c r="A205" s="2" t="s">
        <v>21</v>
      </c>
      <c r="B205" s="2" t="s">
        <v>30</v>
      </c>
      <c r="C205" s="2" t="s">
        <v>68</v>
      </c>
      <c r="D205" s="7" t="s">
        <v>429</v>
      </c>
      <c r="E205" s="2">
        <v>4000</v>
      </c>
      <c r="F205" s="2">
        <v>4000</v>
      </c>
      <c r="G205" s="2">
        <f>E205-F205</f>
        <v>0</v>
      </c>
      <c r="H205" s="3">
        <v>45764</v>
      </c>
      <c r="I205" s="2" t="s">
        <v>272</v>
      </c>
    </row>
    <row r="206" spans="1:9" s="2" customFormat="1" ht="57.6" x14ac:dyDescent="0.3">
      <c r="A206" s="2" t="s">
        <v>21</v>
      </c>
      <c r="B206" s="2" t="s">
        <v>19</v>
      </c>
      <c r="C206" s="2" t="s">
        <v>349</v>
      </c>
      <c r="D206" s="5" t="s">
        <v>427</v>
      </c>
      <c r="E206" s="2">
        <v>7500</v>
      </c>
      <c r="F206" s="2">
        <v>7500</v>
      </c>
      <c r="G206" s="2">
        <f t="shared" si="6"/>
        <v>0</v>
      </c>
      <c r="H206" s="3">
        <v>45764</v>
      </c>
      <c r="I206" s="2" t="s">
        <v>272</v>
      </c>
    </row>
    <row r="207" spans="1:9" s="2" customFormat="1" x14ac:dyDescent="0.3">
      <c r="A207" s="2" t="s">
        <v>397</v>
      </c>
      <c r="B207" s="2" t="s">
        <v>35</v>
      </c>
      <c r="C207" s="2" t="s">
        <v>398</v>
      </c>
      <c r="D207" s="7" t="s">
        <v>399</v>
      </c>
      <c r="E207" s="2">
        <v>3750</v>
      </c>
      <c r="F207" s="2">
        <v>3750</v>
      </c>
      <c r="G207" s="2">
        <f t="shared" si="6"/>
        <v>0</v>
      </c>
      <c r="H207" s="3">
        <v>45765</v>
      </c>
      <c r="I207" s="2" t="s">
        <v>272</v>
      </c>
    </row>
    <row r="208" spans="1:9" s="2" customFormat="1" x14ac:dyDescent="0.3">
      <c r="A208" s="2" t="s">
        <v>366</v>
      </c>
      <c r="B208" s="2" t="s">
        <v>298</v>
      </c>
      <c r="C208" s="2" t="s">
        <v>400</v>
      </c>
      <c r="D208" s="7" t="s">
        <v>379</v>
      </c>
      <c r="E208" s="2">
        <v>2000</v>
      </c>
      <c r="F208" s="2">
        <v>2000</v>
      </c>
      <c r="G208" s="2">
        <f t="shared" si="6"/>
        <v>0</v>
      </c>
      <c r="H208" s="3">
        <v>45766</v>
      </c>
      <c r="I208" s="2" t="s">
        <v>272</v>
      </c>
    </row>
    <row r="209" spans="1:9" s="2" customFormat="1" x14ac:dyDescent="0.3">
      <c r="A209" s="2" t="s">
        <v>206</v>
      </c>
      <c r="B209" s="2" t="s">
        <v>98</v>
      </c>
      <c r="C209" s="2" t="s">
        <v>203</v>
      </c>
      <c r="D209" s="7" t="s">
        <v>487</v>
      </c>
      <c r="E209" s="2">
        <v>600</v>
      </c>
      <c r="F209" s="2">
        <v>600</v>
      </c>
      <c r="G209" s="2">
        <f t="shared" si="6"/>
        <v>0</v>
      </c>
      <c r="H209" s="3">
        <v>45768</v>
      </c>
      <c r="I209" s="2" t="s">
        <v>272</v>
      </c>
    </row>
    <row r="210" spans="1:9" s="2" customFormat="1" x14ac:dyDescent="0.3">
      <c r="A210" s="2" t="s">
        <v>21</v>
      </c>
      <c r="B210" s="2" t="s">
        <v>19</v>
      </c>
      <c r="C210" s="2" t="s">
        <v>349</v>
      </c>
      <c r="D210" s="7" t="s">
        <v>428</v>
      </c>
      <c r="E210" s="2">
        <v>500</v>
      </c>
      <c r="F210" s="2">
        <v>500</v>
      </c>
      <c r="G210" s="2">
        <f t="shared" si="6"/>
        <v>0</v>
      </c>
      <c r="H210" s="3">
        <v>45768</v>
      </c>
      <c r="I210" s="2" t="s">
        <v>272</v>
      </c>
    </row>
    <row r="211" spans="1:9" s="2" customFormat="1" ht="43.2" x14ac:dyDescent="0.3">
      <c r="A211" s="2" t="s">
        <v>401</v>
      </c>
      <c r="B211" s="2" t="s">
        <v>14</v>
      </c>
      <c r="C211" s="2" t="s">
        <v>405</v>
      </c>
      <c r="D211" s="5" t="s">
        <v>402</v>
      </c>
      <c r="E211" s="2">
        <v>14000</v>
      </c>
      <c r="F211" s="2">
        <v>14000</v>
      </c>
      <c r="G211" s="2">
        <f t="shared" si="6"/>
        <v>0</v>
      </c>
      <c r="H211" s="3">
        <v>45768</v>
      </c>
      <c r="I211" s="2" t="s">
        <v>273</v>
      </c>
    </row>
    <row r="212" spans="1:9" s="2" customFormat="1" x14ac:dyDescent="0.3">
      <c r="A212" s="2" t="s">
        <v>403</v>
      </c>
      <c r="B212" s="2" t="s">
        <v>98</v>
      </c>
      <c r="C212" s="2" t="s">
        <v>404</v>
      </c>
      <c r="D212" s="7" t="s">
        <v>60</v>
      </c>
      <c r="E212" s="2">
        <v>1500</v>
      </c>
      <c r="F212" s="2">
        <v>1500</v>
      </c>
      <c r="G212" s="2">
        <f t="shared" si="6"/>
        <v>0</v>
      </c>
      <c r="H212" s="3">
        <v>45768</v>
      </c>
      <c r="I212" s="2" t="s">
        <v>272</v>
      </c>
    </row>
    <row r="213" spans="1:9" s="2" customFormat="1" ht="43.2" x14ac:dyDescent="0.3">
      <c r="A213" s="2" t="s">
        <v>186</v>
      </c>
      <c r="B213" s="2" t="s">
        <v>144</v>
      </c>
      <c r="C213" s="2" t="s">
        <v>281</v>
      </c>
      <c r="D213" s="5" t="s">
        <v>406</v>
      </c>
      <c r="E213" s="2">
        <v>5000</v>
      </c>
      <c r="F213" s="2">
        <v>5000</v>
      </c>
      <c r="G213" s="2">
        <f t="shared" si="6"/>
        <v>0</v>
      </c>
      <c r="H213" s="3">
        <v>45770</v>
      </c>
      <c r="I213" s="2" t="s">
        <v>272</v>
      </c>
    </row>
    <row r="214" spans="1:9" s="2" customFormat="1" ht="28.8" x14ac:dyDescent="0.3">
      <c r="A214" s="2" t="s">
        <v>407</v>
      </c>
      <c r="B214" s="2" t="s">
        <v>40</v>
      </c>
      <c r="C214" s="2" t="s">
        <v>408</v>
      </c>
      <c r="D214" s="5" t="s">
        <v>409</v>
      </c>
      <c r="E214" s="2">
        <v>13000</v>
      </c>
      <c r="F214" s="2">
        <v>13000</v>
      </c>
      <c r="G214" s="2">
        <f t="shared" si="6"/>
        <v>0</v>
      </c>
      <c r="H214" s="3">
        <v>45771</v>
      </c>
      <c r="I214" s="2" t="s">
        <v>272</v>
      </c>
    </row>
    <row r="215" spans="1:9" s="2" customFormat="1" x14ac:dyDescent="0.3">
      <c r="A215" s="2" t="s">
        <v>466</v>
      </c>
      <c r="B215" s="2" t="s">
        <v>9</v>
      </c>
      <c r="D215" s="7" t="s">
        <v>467</v>
      </c>
      <c r="E215" s="2">
        <v>4000</v>
      </c>
      <c r="F215" s="2">
        <v>4000</v>
      </c>
      <c r="G215" s="2">
        <f>E215-F215</f>
        <v>0</v>
      </c>
      <c r="H215" s="3">
        <v>45406</v>
      </c>
    </row>
    <row r="216" spans="1:9" s="2" customFormat="1" x14ac:dyDescent="0.3">
      <c r="A216" s="2" t="s">
        <v>16</v>
      </c>
      <c r="B216" s="2" t="s">
        <v>72</v>
      </c>
      <c r="C216" s="2" t="s">
        <v>410</v>
      </c>
      <c r="D216" s="7" t="s">
        <v>411</v>
      </c>
      <c r="G216" s="2">
        <f t="shared" si="6"/>
        <v>0</v>
      </c>
      <c r="H216" s="3">
        <v>45771</v>
      </c>
      <c r="I216" s="2" t="s">
        <v>272</v>
      </c>
    </row>
    <row r="217" spans="1:9" s="2" customFormat="1" ht="28.8" x14ac:dyDescent="0.3">
      <c r="A217" s="2" t="s">
        <v>322</v>
      </c>
      <c r="B217" s="2" t="s">
        <v>19</v>
      </c>
      <c r="C217" s="2" t="s">
        <v>412</v>
      </c>
      <c r="D217" s="5" t="s">
        <v>413</v>
      </c>
      <c r="E217" s="2">
        <v>4000</v>
      </c>
      <c r="F217" s="2">
        <v>4000</v>
      </c>
      <c r="G217" s="2">
        <f t="shared" si="6"/>
        <v>0</v>
      </c>
      <c r="H217" s="3">
        <v>45771</v>
      </c>
      <c r="I217" s="2" t="s">
        <v>272</v>
      </c>
    </row>
    <row r="218" spans="1:9" s="2" customFormat="1" ht="28.8" x14ac:dyDescent="0.3">
      <c r="A218" s="2" t="s">
        <v>90</v>
      </c>
      <c r="B218" s="2" t="s">
        <v>72</v>
      </c>
      <c r="C218" s="2" t="s">
        <v>414</v>
      </c>
      <c r="D218" s="5" t="s">
        <v>415</v>
      </c>
      <c r="E218" s="2">
        <v>3000</v>
      </c>
      <c r="F218" s="2">
        <v>3000</v>
      </c>
      <c r="G218" s="2">
        <f t="shared" si="6"/>
        <v>0</v>
      </c>
      <c r="H218" s="3">
        <v>45772</v>
      </c>
      <c r="I218" s="2" t="s">
        <v>272</v>
      </c>
    </row>
    <row r="219" spans="1:9" s="2" customFormat="1" x14ac:dyDescent="0.3">
      <c r="A219" s="2" t="s">
        <v>162</v>
      </c>
      <c r="B219" s="2" t="s">
        <v>109</v>
      </c>
      <c r="C219" s="2" t="s">
        <v>164</v>
      </c>
      <c r="D219" s="7" t="s">
        <v>60</v>
      </c>
      <c r="E219" s="2">
        <v>1000</v>
      </c>
      <c r="F219" s="2">
        <v>1000</v>
      </c>
      <c r="G219" s="2">
        <f t="shared" si="6"/>
        <v>0</v>
      </c>
      <c r="H219" s="3">
        <v>45772</v>
      </c>
      <c r="I219" s="2" t="s">
        <v>272</v>
      </c>
    </row>
    <row r="220" spans="1:9" s="2" customFormat="1" ht="28.8" x14ac:dyDescent="0.3">
      <c r="A220" s="2" t="s">
        <v>58</v>
      </c>
      <c r="B220" s="2" t="s">
        <v>109</v>
      </c>
      <c r="C220" s="2" t="s">
        <v>416</v>
      </c>
      <c r="D220" s="5" t="s">
        <v>417</v>
      </c>
      <c r="E220" s="2">
        <v>3350</v>
      </c>
      <c r="F220" s="2">
        <v>3350</v>
      </c>
      <c r="G220" s="2">
        <f t="shared" si="6"/>
        <v>0</v>
      </c>
      <c r="H220" s="3">
        <v>45772</v>
      </c>
      <c r="I220" s="2" t="s">
        <v>272</v>
      </c>
    </row>
    <row r="221" spans="1:9" s="2" customFormat="1" x14ac:dyDescent="0.3">
      <c r="A221" s="2" t="s">
        <v>382</v>
      </c>
      <c r="B221" s="2" t="s">
        <v>418</v>
      </c>
      <c r="C221" s="2" t="s">
        <v>383</v>
      </c>
      <c r="D221" s="7" t="s">
        <v>419</v>
      </c>
      <c r="E221" s="2">
        <v>400</v>
      </c>
      <c r="F221" s="2">
        <v>400</v>
      </c>
      <c r="G221" s="2">
        <f t="shared" si="6"/>
        <v>0</v>
      </c>
      <c r="H221" s="3">
        <v>45773</v>
      </c>
      <c r="I221" s="2" t="s">
        <v>272</v>
      </c>
    </row>
    <row r="222" spans="1:9" s="2" customFormat="1" x14ac:dyDescent="0.3">
      <c r="A222" s="2" t="s">
        <v>420</v>
      </c>
      <c r="B222" s="2" t="s">
        <v>72</v>
      </c>
      <c r="D222" s="7" t="s">
        <v>421</v>
      </c>
      <c r="E222" s="2">
        <v>550</v>
      </c>
      <c r="F222" s="2">
        <v>550</v>
      </c>
      <c r="G222" s="2">
        <f t="shared" si="6"/>
        <v>0</v>
      </c>
      <c r="H222" s="3">
        <v>45773</v>
      </c>
      <c r="I222" s="2" t="s">
        <v>272</v>
      </c>
    </row>
    <row r="223" spans="1:9" s="2" customFormat="1" x14ac:dyDescent="0.3">
      <c r="A223" s="2" t="s">
        <v>205</v>
      </c>
      <c r="B223" s="2" t="s">
        <v>109</v>
      </c>
      <c r="C223" s="2" t="s">
        <v>430</v>
      </c>
      <c r="D223" s="7" t="s">
        <v>431</v>
      </c>
      <c r="E223" s="2">
        <v>1000</v>
      </c>
      <c r="F223" s="2">
        <v>1000</v>
      </c>
      <c r="G223" s="2">
        <f t="shared" si="6"/>
        <v>0</v>
      </c>
      <c r="H223" s="3">
        <v>45776</v>
      </c>
      <c r="I223" s="2" t="s">
        <v>272</v>
      </c>
    </row>
    <row r="224" spans="1:9" s="2" customFormat="1" x14ac:dyDescent="0.3">
      <c r="A224" s="2" t="s">
        <v>120</v>
      </c>
      <c r="B224" s="2" t="s">
        <v>30</v>
      </c>
      <c r="C224" s="2" t="s">
        <v>278</v>
      </c>
      <c r="D224" s="7" t="s">
        <v>432</v>
      </c>
      <c r="E224" s="2">
        <v>6000</v>
      </c>
      <c r="F224" s="2">
        <v>6000</v>
      </c>
      <c r="G224" s="2">
        <f t="shared" si="6"/>
        <v>0</v>
      </c>
      <c r="H224" s="3">
        <v>45776</v>
      </c>
      <c r="I224" s="2" t="s">
        <v>272</v>
      </c>
    </row>
    <row r="225" spans="1:9" s="2" customFormat="1" ht="57.6" x14ac:dyDescent="0.3">
      <c r="A225" s="2" t="s">
        <v>283</v>
      </c>
      <c r="B225" s="2" t="s">
        <v>14</v>
      </c>
      <c r="C225" s="2" t="s">
        <v>284</v>
      </c>
      <c r="D225" s="5" t="s">
        <v>435</v>
      </c>
      <c r="E225" s="2">
        <v>3000</v>
      </c>
      <c r="F225" s="2">
        <v>3000</v>
      </c>
      <c r="G225" s="2">
        <f t="shared" si="6"/>
        <v>0</v>
      </c>
      <c r="H225" s="3">
        <v>45777</v>
      </c>
      <c r="I225" s="2" t="s">
        <v>273</v>
      </c>
    </row>
    <row r="226" spans="1:9" s="2" customFormat="1" x14ac:dyDescent="0.3">
      <c r="A226" s="2" t="s">
        <v>56</v>
      </c>
      <c r="B226" s="2" t="s">
        <v>14</v>
      </c>
      <c r="C226" s="2" t="s">
        <v>436</v>
      </c>
      <c r="D226" s="7" t="s">
        <v>60</v>
      </c>
      <c r="E226" s="2">
        <v>1400</v>
      </c>
      <c r="F226" s="2">
        <v>1400</v>
      </c>
      <c r="G226" s="2">
        <f t="shared" si="6"/>
        <v>0</v>
      </c>
      <c r="H226" s="3">
        <v>45777</v>
      </c>
      <c r="I226" s="2" t="s">
        <v>272</v>
      </c>
    </row>
    <row r="227" spans="1:9" s="2" customFormat="1" ht="28.8" x14ac:dyDescent="0.3">
      <c r="A227" s="2" t="s">
        <v>322</v>
      </c>
      <c r="B227" s="2" t="s">
        <v>19</v>
      </c>
      <c r="C227" s="2" t="s">
        <v>412</v>
      </c>
      <c r="D227" s="5" t="s">
        <v>437</v>
      </c>
      <c r="E227" s="2">
        <v>3500</v>
      </c>
      <c r="F227" s="2">
        <v>3500</v>
      </c>
      <c r="G227" s="2">
        <f t="shared" si="6"/>
        <v>0</v>
      </c>
      <c r="H227" s="3">
        <v>45777</v>
      </c>
      <c r="I227" s="2" t="s">
        <v>272</v>
      </c>
    </row>
    <row r="228" spans="1:9" s="2" customFormat="1" x14ac:dyDescent="0.3">
      <c r="A228" s="2" t="s">
        <v>438</v>
      </c>
      <c r="B228" s="2" t="s">
        <v>14</v>
      </c>
      <c r="C228" s="2" t="s">
        <v>439</v>
      </c>
      <c r="D228" s="7" t="s">
        <v>60</v>
      </c>
      <c r="E228" s="2">
        <v>1500</v>
      </c>
      <c r="F228" s="2">
        <v>1500</v>
      </c>
      <c r="G228" s="2">
        <f t="shared" si="6"/>
        <v>0</v>
      </c>
      <c r="H228" s="3">
        <v>45778</v>
      </c>
      <c r="I228" s="2" t="s">
        <v>272</v>
      </c>
    </row>
    <row r="229" spans="1:9" s="2" customFormat="1" ht="28.8" x14ac:dyDescent="0.3">
      <c r="A229" s="2" t="s">
        <v>420</v>
      </c>
      <c r="B229" s="2" t="s">
        <v>72</v>
      </c>
      <c r="C229" s="2" t="s">
        <v>440</v>
      </c>
      <c r="D229" s="5" t="s">
        <v>441</v>
      </c>
      <c r="E229" s="2">
        <v>1500</v>
      </c>
      <c r="F229" s="2">
        <v>1500</v>
      </c>
      <c r="G229" s="2">
        <f t="shared" si="6"/>
        <v>0</v>
      </c>
      <c r="H229" s="3">
        <v>45778</v>
      </c>
      <c r="I229" s="2" t="s">
        <v>272</v>
      </c>
    </row>
    <row r="230" spans="1:9" s="2" customFormat="1" x14ac:dyDescent="0.3">
      <c r="A230" s="2" t="s">
        <v>420</v>
      </c>
      <c r="B230" s="2" t="s">
        <v>72</v>
      </c>
      <c r="C230" s="2" t="s">
        <v>442</v>
      </c>
      <c r="D230" s="7" t="s">
        <v>60</v>
      </c>
      <c r="E230" s="2">
        <v>1500</v>
      </c>
      <c r="F230" s="2">
        <v>1500</v>
      </c>
      <c r="G230" s="2">
        <f t="shared" si="6"/>
        <v>0</v>
      </c>
      <c r="H230" s="3">
        <v>45778</v>
      </c>
      <c r="I230" s="2" t="s">
        <v>272</v>
      </c>
    </row>
    <row r="231" spans="1:9" s="2" customFormat="1" ht="28.8" x14ac:dyDescent="0.3">
      <c r="A231" s="2" t="s">
        <v>186</v>
      </c>
      <c r="B231" s="2" t="s">
        <v>144</v>
      </c>
      <c r="C231" s="2" t="s">
        <v>281</v>
      </c>
      <c r="D231" s="5" t="s">
        <v>443</v>
      </c>
      <c r="E231" s="2">
        <v>1800</v>
      </c>
      <c r="F231" s="2">
        <v>1800</v>
      </c>
      <c r="G231" s="2">
        <f t="shared" si="6"/>
        <v>0</v>
      </c>
      <c r="H231" s="3">
        <v>45778</v>
      </c>
      <c r="I231" s="2" t="s">
        <v>272</v>
      </c>
    </row>
    <row r="232" spans="1:9" s="2" customFormat="1" ht="28.8" x14ac:dyDescent="0.3">
      <c r="A232" s="2" t="s">
        <v>433</v>
      </c>
      <c r="B232" s="2" t="s">
        <v>72</v>
      </c>
      <c r="C232" s="2" t="s">
        <v>434</v>
      </c>
      <c r="D232" s="5" t="s">
        <v>381</v>
      </c>
      <c r="E232" s="2">
        <v>27500</v>
      </c>
      <c r="F232" s="2">
        <v>27500</v>
      </c>
      <c r="G232" s="2">
        <f>E232-F232</f>
        <v>0</v>
      </c>
      <c r="H232" s="3">
        <v>45779</v>
      </c>
      <c r="I232" s="2" t="s">
        <v>272</v>
      </c>
    </row>
    <row r="233" spans="1:9" s="2" customFormat="1" x14ac:dyDescent="0.3">
      <c r="A233" s="2" t="s">
        <v>90</v>
      </c>
      <c r="B233" s="2" t="s">
        <v>72</v>
      </c>
      <c r="C233" s="2" t="s">
        <v>414</v>
      </c>
      <c r="D233" s="7" t="s">
        <v>453</v>
      </c>
      <c r="E233" s="2">
        <v>28000</v>
      </c>
      <c r="F233" s="2">
        <v>28000</v>
      </c>
      <c r="G233" s="2">
        <f>E233-F233</f>
        <v>0</v>
      </c>
      <c r="H233" s="3">
        <v>45780</v>
      </c>
      <c r="I233" s="2" t="s">
        <v>273</v>
      </c>
    </row>
    <row r="234" spans="1:9" s="2" customFormat="1" x14ac:dyDescent="0.3">
      <c r="A234" s="2" t="s">
        <v>153</v>
      </c>
      <c r="B234" s="2" t="s">
        <v>72</v>
      </c>
      <c r="C234" s="2" t="s">
        <v>444</v>
      </c>
      <c r="D234" s="7" t="s">
        <v>445</v>
      </c>
      <c r="E234" s="2">
        <v>22000</v>
      </c>
      <c r="F234" s="2">
        <v>22000</v>
      </c>
      <c r="G234" s="2">
        <f t="shared" si="6"/>
        <v>0</v>
      </c>
      <c r="H234" s="3">
        <v>45780</v>
      </c>
      <c r="I234" s="2" t="s">
        <v>272</v>
      </c>
    </row>
    <row r="235" spans="1:9" s="2" customFormat="1" x14ac:dyDescent="0.3">
      <c r="A235" s="2" t="s">
        <v>446</v>
      </c>
      <c r="B235" s="2" t="s">
        <v>318</v>
      </c>
      <c r="C235" s="2" t="s">
        <v>262</v>
      </c>
      <c r="D235" s="7" t="s">
        <v>447</v>
      </c>
      <c r="E235" s="2">
        <v>600</v>
      </c>
      <c r="F235" s="2">
        <v>600</v>
      </c>
      <c r="G235" s="2">
        <f t="shared" si="6"/>
        <v>0</v>
      </c>
      <c r="H235" s="3">
        <v>45780</v>
      </c>
      <c r="I235" s="2" t="s">
        <v>272</v>
      </c>
    </row>
    <row r="236" spans="1:9" s="2" customFormat="1" x14ac:dyDescent="0.3">
      <c r="A236" s="2" t="s">
        <v>221</v>
      </c>
      <c r="B236" s="2" t="s">
        <v>448</v>
      </c>
      <c r="C236" s="2" t="s">
        <v>352</v>
      </c>
      <c r="D236" s="7" t="s">
        <v>449</v>
      </c>
      <c r="E236" s="2">
        <v>600</v>
      </c>
      <c r="F236" s="2">
        <v>600</v>
      </c>
      <c r="G236" s="2">
        <f t="shared" si="6"/>
        <v>0</v>
      </c>
      <c r="H236" s="3">
        <v>45780</v>
      </c>
      <c r="I236" s="2" t="s">
        <v>272</v>
      </c>
    </row>
    <row r="237" spans="1:9" s="2" customFormat="1" x14ac:dyDescent="0.3">
      <c r="A237" s="2" t="s">
        <v>450</v>
      </c>
      <c r="B237" s="2" t="s">
        <v>72</v>
      </c>
      <c r="C237" s="2" t="s">
        <v>451</v>
      </c>
      <c r="D237" s="7" t="s">
        <v>452</v>
      </c>
      <c r="G237" s="2">
        <f t="shared" si="6"/>
        <v>0</v>
      </c>
      <c r="H237" s="3">
        <v>45781</v>
      </c>
      <c r="I237" s="2" t="s">
        <v>272</v>
      </c>
    </row>
    <row r="238" spans="1:9" s="2" customFormat="1" x14ac:dyDescent="0.3">
      <c r="A238" s="2" t="s">
        <v>473</v>
      </c>
      <c r="B238" s="2" t="s">
        <v>329</v>
      </c>
      <c r="D238" s="7" t="s">
        <v>118</v>
      </c>
      <c r="E238" s="2">
        <v>20000</v>
      </c>
      <c r="F238" s="2">
        <v>20000</v>
      </c>
      <c r="G238" s="2">
        <f t="shared" si="6"/>
        <v>0</v>
      </c>
      <c r="H238" s="3">
        <v>45781</v>
      </c>
      <c r="I238" s="2" t="s">
        <v>272</v>
      </c>
    </row>
    <row r="239" spans="1:9" s="2" customFormat="1" x14ac:dyDescent="0.3">
      <c r="A239" s="2" t="s">
        <v>20</v>
      </c>
      <c r="B239" s="2" t="s">
        <v>51</v>
      </c>
      <c r="C239" s="2" t="s">
        <v>454</v>
      </c>
      <c r="D239" s="7" t="s">
        <v>455</v>
      </c>
      <c r="E239" s="2">
        <v>3500</v>
      </c>
      <c r="F239" s="2">
        <v>3500</v>
      </c>
      <c r="G239" s="2">
        <f t="shared" si="6"/>
        <v>0</v>
      </c>
      <c r="H239" s="3">
        <v>45782</v>
      </c>
      <c r="I239" s="2" t="s">
        <v>272</v>
      </c>
    </row>
    <row r="240" spans="1:9" s="2" customFormat="1" ht="28.8" x14ac:dyDescent="0.3">
      <c r="A240" s="2" t="s">
        <v>100</v>
      </c>
      <c r="B240" s="2" t="s">
        <v>456</v>
      </c>
      <c r="C240" s="2" t="s">
        <v>457</v>
      </c>
      <c r="D240" s="5" t="s">
        <v>458</v>
      </c>
      <c r="E240" s="2">
        <v>15000</v>
      </c>
      <c r="F240" s="2">
        <v>15000</v>
      </c>
      <c r="G240" s="2">
        <f t="shared" si="6"/>
        <v>0</v>
      </c>
      <c r="H240" s="3">
        <v>45782</v>
      </c>
      <c r="I240" s="2" t="s">
        <v>272</v>
      </c>
    </row>
    <row r="241" spans="1:9" s="2" customFormat="1" x14ac:dyDescent="0.3">
      <c r="A241" s="2" t="s">
        <v>420</v>
      </c>
      <c r="B241" s="2" t="s">
        <v>72</v>
      </c>
      <c r="C241" s="2" t="s">
        <v>442</v>
      </c>
      <c r="D241" s="7" t="s">
        <v>459</v>
      </c>
      <c r="E241" s="2">
        <v>1200</v>
      </c>
      <c r="F241" s="2">
        <v>1200</v>
      </c>
      <c r="G241" s="2">
        <f t="shared" si="6"/>
        <v>0</v>
      </c>
      <c r="H241" s="3">
        <v>45783</v>
      </c>
      <c r="I241" s="2" t="s">
        <v>273</v>
      </c>
    </row>
    <row r="242" spans="1:9" s="2" customFormat="1" ht="43.2" x14ac:dyDescent="0.3">
      <c r="A242" s="2" t="s">
        <v>21</v>
      </c>
      <c r="B242" s="2" t="s">
        <v>461</v>
      </c>
      <c r="C242" s="2" t="s">
        <v>462</v>
      </c>
      <c r="D242" s="5" t="s">
        <v>463</v>
      </c>
      <c r="E242" s="2">
        <v>2000</v>
      </c>
      <c r="F242" s="2">
        <v>2000</v>
      </c>
      <c r="G242" s="2">
        <f t="shared" si="6"/>
        <v>0</v>
      </c>
      <c r="H242" s="3">
        <v>45784</v>
      </c>
      <c r="I242" s="2" t="s">
        <v>272</v>
      </c>
    </row>
    <row r="243" spans="1:9" s="2" customFormat="1" x14ac:dyDescent="0.3">
      <c r="A243" s="2" t="s">
        <v>228</v>
      </c>
      <c r="B243" s="2" t="s">
        <v>72</v>
      </c>
      <c r="C243" s="2" t="s">
        <v>230</v>
      </c>
      <c r="D243" s="5" t="s">
        <v>464</v>
      </c>
      <c r="E243" s="2">
        <v>20000</v>
      </c>
      <c r="F243" s="2">
        <v>20000</v>
      </c>
      <c r="G243" s="2">
        <f t="shared" si="6"/>
        <v>0</v>
      </c>
      <c r="H243" s="3">
        <v>45784</v>
      </c>
      <c r="I243" s="2" t="s">
        <v>272</v>
      </c>
    </row>
    <row r="244" spans="1:9" s="2" customFormat="1" x14ac:dyDescent="0.3">
      <c r="A244" s="2" t="s">
        <v>81</v>
      </c>
      <c r="B244" s="2" t="s">
        <v>17</v>
      </c>
      <c r="C244" s="2" t="s">
        <v>80</v>
      </c>
      <c r="D244" s="7" t="s">
        <v>465</v>
      </c>
      <c r="G244" s="2">
        <f t="shared" si="6"/>
        <v>0</v>
      </c>
      <c r="H244" s="3">
        <v>45785</v>
      </c>
      <c r="I244" s="2" t="s">
        <v>272</v>
      </c>
    </row>
    <row r="245" spans="1:9" s="2" customFormat="1" x14ac:dyDescent="0.3">
      <c r="A245" s="2" t="s">
        <v>16</v>
      </c>
      <c r="B245" s="2" t="s">
        <v>72</v>
      </c>
      <c r="C245" s="2" t="s">
        <v>410</v>
      </c>
      <c r="D245" s="7" t="s">
        <v>60</v>
      </c>
      <c r="G245" s="2">
        <f t="shared" si="6"/>
        <v>0</v>
      </c>
      <c r="H245" s="3">
        <v>45785</v>
      </c>
      <c r="I245" s="2" t="s">
        <v>272</v>
      </c>
    </row>
    <row r="246" spans="1:9" s="2" customFormat="1" x14ac:dyDescent="0.3">
      <c r="A246" s="2" t="s">
        <v>36</v>
      </c>
      <c r="B246" s="2" t="s">
        <v>19</v>
      </c>
      <c r="C246" s="2" t="s">
        <v>468</v>
      </c>
      <c r="D246" s="7" t="s">
        <v>471</v>
      </c>
      <c r="G246" s="2">
        <f t="shared" si="6"/>
        <v>0</v>
      </c>
      <c r="H246" s="3">
        <v>45786</v>
      </c>
      <c r="I246" s="2" t="s">
        <v>272</v>
      </c>
    </row>
    <row r="247" spans="1:9" s="2" customFormat="1" x14ac:dyDescent="0.3">
      <c r="C247" s="2" t="s">
        <v>469</v>
      </c>
      <c r="D247" s="7"/>
      <c r="G247" s="2">
        <f t="shared" si="6"/>
        <v>0</v>
      </c>
      <c r="H247" s="3">
        <v>45786</v>
      </c>
      <c r="I247" s="2" t="s">
        <v>272</v>
      </c>
    </row>
    <row r="248" spans="1:9" s="2" customFormat="1" ht="28.8" x14ac:dyDescent="0.3">
      <c r="A248" s="2" t="s">
        <v>295</v>
      </c>
      <c r="B248" s="2" t="s">
        <v>17</v>
      </c>
      <c r="C248" s="2" t="s">
        <v>470</v>
      </c>
      <c r="D248" s="5" t="s">
        <v>472</v>
      </c>
      <c r="G248" s="2">
        <f t="shared" ref="G248:G313" si="7">E248-F248</f>
        <v>0</v>
      </c>
      <c r="H248" s="3">
        <v>45786</v>
      </c>
      <c r="I248" s="2" t="s">
        <v>272</v>
      </c>
    </row>
    <row r="249" spans="1:9" s="2" customFormat="1" ht="28.8" x14ac:dyDescent="0.3">
      <c r="A249" s="2" t="s">
        <v>486</v>
      </c>
      <c r="B249" s="2" t="s">
        <v>261</v>
      </c>
      <c r="C249" s="2" t="s">
        <v>217</v>
      </c>
      <c r="D249" s="5" t="s">
        <v>381</v>
      </c>
      <c r="E249" s="2">
        <v>26000</v>
      </c>
      <c r="F249" s="2">
        <v>26000</v>
      </c>
      <c r="G249" s="2">
        <f t="shared" si="7"/>
        <v>0</v>
      </c>
      <c r="H249" s="3">
        <v>45787</v>
      </c>
      <c r="I249" s="2" t="s">
        <v>272</v>
      </c>
    </row>
    <row r="250" spans="1:9" s="2" customFormat="1" x14ac:dyDescent="0.3">
      <c r="A250" s="2" t="s">
        <v>473</v>
      </c>
      <c r="B250" s="2" t="s">
        <v>329</v>
      </c>
      <c r="D250" s="7" t="s">
        <v>474</v>
      </c>
      <c r="E250" s="2">
        <v>22500</v>
      </c>
      <c r="F250" s="2">
        <v>22500</v>
      </c>
      <c r="G250" s="2">
        <f t="shared" si="7"/>
        <v>0</v>
      </c>
      <c r="H250" s="3">
        <v>45788</v>
      </c>
      <c r="I250" s="2" t="s">
        <v>273</v>
      </c>
    </row>
    <row r="251" spans="1:9" s="2" customFormat="1" x14ac:dyDescent="0.3">
      <c r="A251" s="2" t="s">
        <v>153</v>
      </c>
      <c r="B251" s="2" t="s">
        <v>72</v>
      </c>
      <c r="C251" s="2" t="s">
        <v>444</v>
      </c>
      <c r="D251" s="7" t="s">
        <v>475</v>
      </c>
      <c r="E251" s="2">
        <v>3000</v>
      </c>
      <c r="F251" s="2">
        <v>3000</v>
      </c>
      <c r="G251" s="2">
        <f t="shared" si="7"/>
        <v>0</v>
      </c>
      <c r="H251" s="3">
        <v>45788</v>
      </c>
      <c r="I251" s="2" t="s">
        <v>272</v>
      </c>
    </row>
    <row r="252" spans="1:9" s="2" customFormat="1" ht="28.8" x14ac:dyDescent="0.3">
      <c r="A252" s="2" t="s">
        <v>407</v>
      </c>
      <c r="B252" s="2" t="s">
        <v>476</v>
      </c>
      <c r="C252" s="2" t="s">
        <v>408</v>
      </c>
      <c r="D252" s="5" t="s">
        <v>477</v>
      </c>
      <c r="E252" s="2">
        <v>6000</v>
      </c>
      <c r="F252" s="2">
        <v>6000</v>
      </c>
      <c r="G252" s="2">
        <f t="shared" si="7"/>
        <v>0</v>
      </c>
      <c r="H252" s="3">
        <v>45788</v>
      </c>
      <c r="I252" s="2" t="s">
        <v>272</v>
      </c>
    </row>
    <row r="253" spans="1:9" s="2" customFormat="1" ht="28.8" x14ac:dyDescent="0.3">
      <c r="A253" s="12" t="s">
        <v>478</v>
      </c>
      <c r="B253" s="2" t="s">
        <v>59</v>
      </c>
      <c r="C253" s="2" t="s">
        <v>313</v>
      </c>
      <c r="D253" s="5" t="s">
        <v>479</v>
      </c>
      <c r="E253" s="2">
        <v>1200</v>
      </c>
      <c r="F253" s="2">
        <v>1200</v>
      </c>
      <c r="G253" s="2">
        <f t="shared" si="7"/>
        <v>0</v>
      </c>
      <c r="H253" s="3">
        <v>45788</v>
      </c>
      <c r="I253" s="2" t="s">
        <v>272</v>
      </c>
    </row>
    <row r="254" spans="1:9" s="2" customFormat="1" x14ac:dyDescent="0.3">
      <c r="A254" s="2" t="s">
        <v>480</v>
      </c>
      <c r="B254" s="2" t="s">
        <v>17</v>
      </c>
      <c r="C254" s="2" t="s">
        <v>481</v>
      </c>
      <c r="D254" s="7" t="s">
        <v>60</v>
      </c>
      <c r="E254" s="2">
        <v>1250</v>
      </c>
      <c r="F254" s="2">
        <v>1250</v>
      </c>
      <c r="G254" s="2">
        <f t="shared" si="7"/>
        <v>0</v>
      </c>
      <c r="H254" s="3">
        <v>45788</v>
      </c>
      <c r="I254" s="2" t="s">
        <v>272</v>
      </c>
    </row>
    <row r="255" spans="1:9" s="2" customFormat="1" x14ac:dyDescent="0.3">
      <c r="A255" s="2" t="s">
        <v>473</v>
      </c>
      <c r="B255" s="2" t="s">
        <v>25</v>
      </c>
      <c r="D255" s="7" t="s">
        <v>126</v>
      </c>
      <c r="E255" s="2">
        <v>22500</v>
      </c>
      <c r="F255" s="2">
        <v>22500</v>
      </c>
      <c r="G255" s="2">
        <f t="shared" si="7"/>
        <v>0</v>
      </c>
      <c r="H255" s="3">
        <v>45789</v>
      </c>
      <c r="I255" s="2" t="s">
        <v>272</v>
      </c>
    </row>
    <row r="256" spans="1:9" s="2" customFormat="1" x14ac:dyDescent="0.3">
      <c r="A256" s="2" t="s">
        <v>420</v>
      </c>
      <c r="B256" s="2" t="s">
        <v>72</v>
      </c>
      <c r="C256" s="2" t="s">
        <v>440</v>
      </c>
      <c r="D256" s="7" t="s">
        <v>126</v>
      </c>
      <c r="E256" s="2">
        <v>10000</v>
      </c>
      <c r="F256" s="2">
        <v>10000</v>
      </c>
      <c r="G256" s="2">
        <f t="shared" si="7"/>
        <v>0</v>
      </c>
      <c r="H256" s="3">
        <v>45790</v>
      </c>
      <c r="I256" s="2" t="s">
        <v>272</v>
      </c>
    </row>
    <row r="257" spans="1:9" s="2" customFormat="1" ht="43.2" x14ac:dyDescent="0.3">
      <c r="A257" s="2" t="s">
        <v>482</v>
      </c>
      <c r="B257" s="2" t="s">
        <v>483</v>
      </c>
      <c r="C257" s="2" t="s">
        <v>484</v>
      </c>
      <c r="D257" s="5" t="s">
        <v>485</v>
      </c>
      <c r="E257" s="2">
        <v>1500</v>
      </c>
      <c r="F257" s="2">
        <v>1500</v>
      </c>
      <c r="G257" s="2">
        <f t="shared" si="7"/>
        <v>0</v>
      </c>
      <c r="H257" s="3">
        <v>45790</v>
      </c>
      <c r="I257" s="2" t="s">
        <v>273</v>
      </c>
    </row>
    <row r="258" spans="1:9" s="2" customFormat="1" x14ac:dyDescent="0.3">
      <c r="A258" s="2" t="s">
        <v>488</v>
      </c>
      <c r="B258" s="2" t="s">
        <v>489</v>
      </c>
      <c r="D258" s="7" t="s">
        <v>490</v>
      </c>
      <c r="E258" s="2">
        <v>1000</v>
      </c>
      <c r="F258" s="2">
        <v>1000</v>
      </c>
      <c r="G258" s="2">
        <f t="shared" si="7"/>
        <v>0</v>
      </c>
      <c r="H258" s="3">
        <v>45791</v>
      </c>
      <c r="I258" s="2" t="s">
        <v>272</v>
      </c>
    </row>
    <row r="259" spans="1:9" s="2" customFormat="1" x14ac:dyDescent="0.3">
      <c r="A259" s="2" t="s">
        <v>321</v>
      </c>
      <c r="B259" s="2" t="s">
        <v>30</v>
      </c>
      <c r="C259" s="2" t="s">
        <v>491</v>
      </c>
      <c r="D259" s="7" t="s">
        <v>492</v>
      </c>
      <c r="E259" s="2">
        <v>400</v>
      </c>
      <c r="F259" s="2">
        <v>400</v>
      </c>
      <c r="G259" s="2">
        <f t="shared" si="7"/>
        <v>0</v>
      </c>
      <c r="H259" s="3">
        <v>45791</v>
      </c>
      <c r="I259" s="2" t="s">
        <v>272</v>
      </c>
    </row>
    <row r="260" spans="1:9" s="2" customFormat="1" x14ac:dyDescent="0.3">
      <c r="A260" s="2" t="s">
        <v>420</v>
      </c>
      <c r="B260" s="2" t="s">
        <v>493</v>
      </c>
      <c r="C260" s="2" t="s">
        <v>440</v>
      </c>
      <c r="D260" s="7" t="s">
        <v>494</v>
      </c>
      <c r="E260" s="2">
        <v>2000</v>
      </c>
      <c r="F260" s="2">
        <v>2000</v>
      </c>
      <c r="G260" s="2">
        <f t="shared" si="7"/>
        <v>0</v>
      </c>
      <c r="H260" s="3">
        <v>45792</v>
      </c>
      <c r="I260" s="2" t="s">
        <v>272</v>
      </c>
    </row>
    <row r="261" spans="1:9" s="2" customFormat="1" x14ac:dyDescent="0.3">
      <c r="A261" s="2" t="s">
        <v>495</v>
      </c>
      <c r="B261" s="2" t="s">
        <v>17</v>
      </c>
      <c r="C261" s="2" t="s">
        <v>496</v>
      </c>
      <c r="D261" s="7" t="s">
        <v>497</v>
      </c>
      <c r="E261" s="2">
        <v>400</v>
      </c>
      <c r="F261" s="2">
        <v>400</v>
      </c>
      <c r="G261" s="2">
        <f t="shared" si="7"/>
        <v>0</v>
      </c>
      <c r="H261" s="3">
        <v>45792</v>
      </c>
      <c r="I261" s="2" t="s">
        <v>272</v>
      </c>
    </row>
    <row r="262" spans="1:9" s="2" customFormat="1" ht="57.6" x14ac:dyDescent="0.3">
      <c r="A262" s="2" t="s">
        <v>21</v>
      </c>
      <c r="B262" s="2" t="s">
        <v>19</v>
      </c>
      <c r="C262" s="2" t="s">
        <v>202</v>
      </c>
      <c r="D262" s="5" t="s">
        <v>498</v>
      </c>
      <c r="E262" s="2">
        <v>11000</v>
      </c>
      <c r="F262" s="2">
        <v>11000</v>
      </c>
      <c r="G262" s="2">
        <f t="shared" si="7"/>
        <v>0</v>
      </c>
      <c r="H262" s="3">
        <v>45793</v>
      </c>
      <c r="I262" s="2" t="s">
        <v>272</v>
      </c>
    </row>
    <row r="263" spans="1:9" s="2" customFormat="1" x14ac:dyDescent="0.3">
      <c r="A263" s="2" t="s">
        <v>420</v>
      </c>
      <c r="B263" s="2" t="s">
        <v>30</v>
      </c>
      <c r="C263" s="2" t="s">
        <v>499</v>
      </c>
      <c r="D263" s="5" t="s">
        <v>500</v>
      </c>
      <c r="E263" s="2">
        <v>1500</v>
      </c>
      <c r="F263" s="2">
        <v>1500</v>
      </c>
      <c r="G263" s="2">
        <f t="shared" si="7"/>
        <v>0</v>
      </c>
      <c r="H263" s="3">
        <v>45794</v>
      </c>
      <c r="I263" s="2" t="s">
        <v>272</v>
      </c>
    </row>
    <row r="264" spans="1:9" s="2" customFormat="1" x14ac:dyDescent="0.3">
      <c r="A264" s="2" t="s">
        <v>501</v>
      </c>
      <c r="B264" s="2" t="s">
        <v>14</v>
      </c>
      <c r="C264" s="2" t="s">
        <v>502</v>
      </c>
      <c r="D264" s="7" t="s">
        <v>503</v>
      </c>
      <c r="E264" s="2">
        <v>10000</v>
      </c>
      <c r="F264" s="2">
        <v>10000</v>
      </c>
      <c r="G264" s="2">
        <f t="shared" si="7"/>
        <v>0</v>
      </c>
      <c r="H264" s="3">
        <v>45794</v>
      </c>
      <c r="I264" s="2" t="s">
        <v>274</v>
      </c>
    </row>
    <row r="265" spans="1:9" s="2" customFormat="1" x14ac:dyDescent="0.3">
      <c r="A265" s="2" t="s">
        <v>57</v>
      </c>
      <c r="B265" s="2" t="s">
        <v>19</v>
      </c>
      <c r="D265" s="7" t="s">
        <v>513</v>
      </c>
      <c r="E265" s="2">
        <v>2500</v>
      </c>
      <c r="F265" s="2">
        <v>2500</v>
      </c>
      <c r="G265" s="2">
        <f>E265-F265</f>
        <v>0</v>
      </c>
      <c r="H265" s="3">
        <v>45794</v>
      </c>
      <c r="I265" s="2" t="s">
        <v>272</v>
      </c>
    </row>
    <row r="266" spans="1:9" s="2" customFormat="1" x14ac:dyDescent="0.3">
      <c r="A266" s="2" t="s">
        <v>504</v>
      </c>
      <c r="B266" s="2" t="s">
        <v>72</v>
      </c>
      <c r="C266" s="2" t="s">
        <v>505</v>
      </c>
      <c r="D266" s="7" t="s">
        <v>287</v>
      </c>
      <c r="G266" s="2">
        <f t="shared" si="7"/>
        <v>0</v>
      </c>
      <c r="H266" s="3">
        <v>45796</v>
      </c>
      <c r="I266" s="2" t="s">
        <v>272</v>
      </c>
    </row>
    <row r="267" spans="1:9" s="2" customFormat="1" x14ac:dyDescent="0.3">
      <c r="A267" s="2" t="s">
        <v>480</v>
      </c>
      <c r="B267" s="2" t="s">
        <v>17</v>
      </c>
      <c r="C267" s="2" t="s">
        <v>481</v>
      </c>
      <c r="D267" s="7" t="s">
        <v>506</v>
      </c>
      <c r="E267" s="2">
        <v>20000</v>
      </c>
      <c r="F267" s="2">
        <v>17900</v>
      </c>
      <c r="G267" s="2">
        <f t="shared" si="7"/>
        <v>2100</v>
      </c>
      <c r="H267" s="3">
        <v>45796</v>
      </c>
      <c r="I267" s="2" t="s">
        <v>274</v>
      </c>
    </row>
    <row r="268" spans="1:9" s="2" customFormat="1" x14ac:dyDescent="0.3">
      <c r="A268" s="2" t="s">
        <v>514</v>
      </c>
      <c r="D268" s="7" t="s">
        <v>515</v>
      </c>
      <c r="E268" s="2">
        <v>3700</v>
      </c>
      <c r="F268" s="2">
        <v>3700</v>
      </c>
      <c r="G268" s="2">
        <f>E268-F268</f>
        <v>0</v>
      </c>
      <c r="H268" s="3">
        <v>45797</v>
      </c>
      <c r="I268" s="2" t="s">
        <v>274</v>
      </c>
    </row>
    <row r="269" spans="1:9" s="2" customFormat="1" x14ac:dyDescent="0.3">
      <c r="A269" s="2" t="s">
        <v>507</v>
      </c>
      <c r="B269" s="2" t="s">
        <v>98</v>
      </c>
      <c r="C269" s="2" t="s">
        <v>508</v>
      </c>
      <c r="D269" s="7" t="s">
        <v>198</v>
      </c>
      <c r="E269" s="2">
        <v>2000</v>
      </c>
      <c r="F269" s="2">
        <v>2000</v>
      </c>
      <c r="G269" s="2">
        <f t="shared" si="7"/>
        <v>0</v>
      </c>
      <c r="H269" s="3">
        <v>45797</v>
      </c>
      <c r="I269" s="2" t="s">
        <v>272</v>
      </c>
    </row>
    <row r="270" spans="1:9" s="2" customFormat="1" x14ac:dyDescent="0.3">
      <c r="A270" s="2" t="s">
        <v>47</v>
      </c>
      <c r="B270" s="2" t="s">
        <v>19</v>
      </c>
      <c r="C270" s="2" t="s">
        <v>123</v>
      </c>
      <c r="D270" s="7" t="s">
        <v>509</v>
      </c>
      <c r="E270" s="2">
        <v>2000</v>
      </c>
      <c r="F270" s="2">
        <v>2000</v>
      </c>
      <c r="G270" s="2">
        <f t="shared" si="7"/>
        <v>0</v>
      </c>
      <c r="H270" s="3">
        <v>45797</v>
      </c>
      <c r="I270" s="2" t="s">
        <v>272</v>
      </c>
    </row>
    <row r="271" spans="1:9" s="2" customFormat="1" x14ac:dyDescent="0.3">
      <c r="A271" s="2" t="s">
        <v>510</v>
      </c>
      <c r="B271" s="2" t="s">
        <v>30</v>
      </c>
      <c r="C271" s="2" t="s">
        <v>511</v>
      </c>
      <c r="D271" s="7" t="s">
        <v>126</v>
      </c>
      <c r="E271" s="2">
        <v>20000</v>
      </c>
      <c r="F271" s="2">
        <v>20000</v>
      </c>
      <c r="G271" s="2">
        <f t="shared" si="7"/>
        <v>0</v>
      </c>
      <c r="H271" s="3">
        <v>45798</v>
      </c>
      <c r="I271" s="2" t="s">
        <v>272</v>
      </c>
    </row>
    <row r="272" spans="1:9" s="2" customFormat="1" x14ac:dyDescent="0.3">
      <c r="A272" s="2" t="s">
        <v>57</v>
      </c>
      <c r="B272" s="2" t="s">
        <v>59</v>
      </c>
      <c r="C272" s="2" t="s">
        <v>512</v>
      </c>
      <c r="D272" s="7" t="s">
        <v>60</v>
      </c>
      <c r="E272" s="2">
        <v>1500</v>
      </c>
      <c r="F272" s="2">
        <v>1500</v>
      </c>
      <c r="G272" s="2">
        <f t="shared" si="7"/>
        <v>0</v>
      </c>
      <c r="H272" s="3">
        <v>45798</v>
      </c>
      <c r="I272" s="2" t="s">
        <v>272</v>
      </c>
    </row>
    <row r="273" spans="1:9" s="2" customFormat="1" x14ac:dyDescent="0.3">
      <c r="A273" s="2" t="s">
        <v>516</v>
      </c>
      <c r="B273" s="2" t="s">
        <v>329</v>
      </c>
      <c r="D273" s="7" t="s">
        <v>517</v>
      </c>
      <c r="G273" s="2">
        <f t="shared" si="7"/>
        <v>0</v>
      </c>
      <c r="H273" s="3">
        <v>45799</v>
      </c>
      <c r="I273" s="2" t="s">
        <v>272</v>
      </c>
    </row>
    <row r="274" spans="1:9" s="2" customFormat="1" ht="28.8" x14ac:dyDescent="0.3">
      <c r="A274" s="2" t="s">
        <v>518</v>
      </c>
      <c r="B274" s="2" t="s">
        <v>329</v>
      </c>
      <c r="D274" s="5" t="s">
        <v>519</v>
      </c>
      <c r="E274" s="2">
        <v>550000</v>
      </c>
      <c r="F274" s="2">
        <v>200000</v>
      </c>
      <c r="G274" s="2">
        <f t="shared" si="7"/>
        <v>350000</v>
      </c>
      <c r="H274" s="3">
        <v>45800</v>
      </c>
      <c r="I274" s="2" t="s">
        <v>273</v>
      </c>
    </row>
    <row r="275" spans="1:9" s="2" customFormat="1" ht="28.8" x14ac:dyDescent="0.3">
      <c r="A275" s="2" t="s">
        <v>57</v>
      </c>
      <c r="B275" s="2" t="s">
        <v>59</v>
      </c>
      <c r="C275" s="2" t="s">
        <v>512</v>
      </c>
      <c r="D275" s="5" t="s">
        <v>520</v>
      </c>
      <c r="E275" s="2">
        <v>2000</v>
      </c>
      <c r="F275" s="2">
        <v>2000</v>
      </c>
      <c r="G275" s="2">
        <f t="shared" si="7"/>
        <v>0</v>
      </c>
      <c r="H275" s="3">
        <v>45800</v>
      </c>
      <c r="I275" s="2" t="s">
        <v>272</v>
      </c>
    </row>
    <row r="276" spans="1:9" s="2" customFormat="1" x14ac:dyDescent="0.3">
      <c r="A276" s="2" t="s">
        <v>21</v>
      </c>
      <c r="B276" s="2" t="s">
        <v>17</v>
      </c>
      <c r="C276" s="2" t="s">
        <v>340</v>
      </c>
      <c r="D276" s="7" t="s">
        <v>18</v>
      </c>
      <c r="E276" s="2">
        <v>15000</v>
      </c>
      <c r="F276" s="2">
        <v>15000</v>
      </c>
      <c r="G276" s="2">
        <f t="shared" si="7"/>
        <v>0</v>
      </c>
      <c r="H276" s="3">
        <v>45800</v>
      </c>
      <c r="I276" s="2" t="s">
        <v>272</v>
      </c>
    </row>
    <row r="277" spans="1:9" s="2" customFormat="1" x14ac:dyDescent="0.3">
      <c r="A277" s="2" t="s">
        <v>21</v>
      </c>
      <c r="B277" s="2" t="s">
        <v>17</v>
      </c>
      <c r="C277" s="2" t="s">
        <v>340</v>
      </c>
      <c r="D277" s="7" t="s">
        <v>521</v>
      </c>
      <c r="E277" s="2">
        <v>2500</v>
      </c>
      <c r="F277" s="2">
        <v>2500</v>
      </c>
      <c r="G277" s="2">
        <f t="shared" si="7"/>
        <v>0</v>
      </c>
      <c r="H277" s="3">
        <v>45803</v>
      </c>
      <c r="I277" s="2" t="s">
        <v>272</v>
      </c>
    </row>
    <row r="278" spans="1:9" s="2" customFormat="1" x14ac:dyDescent="0.3">
      <c r="A278" s="2" t="s">
        <v>21</v>
      </c>
      <c r="B278" s="2" t="s">
        <v>19</v>
      </c>
      <c r="C278" s="2" t="s">
        <v>22</v>
      </c>
      <c r="D278" s="7" t="s">
        <v>522</v>
      </c>
      <c r="E278" s="2">
        <v>2500</v>
      </c>
      <c r="F278" s="2">
        <v>2500</v>
      </c>
      <c r="G278" s="2">
        <f t="shared" si="7"/>
        <v>0</v>
      </c>
      <c r="H278" s="3">
        <v>45803</v>
      </c>
      <c r="I278" s="2" t="s">
        <v>272</v>
      </c>
    </row>
    <row r="279" spans="1:9" s="2" customFormat="1" ht="28.8" x14ac:dyDescent="0.3">
      <c r="A279" s="2" t="s">
        <v>100</v>
      </c>
      <c r="B279" s="2" t="s">
        <v>78</v>
      </c>
      <c r="C279" s="2" t="s">
        <v>523</v>
      </c>
      <c r="D279" s="5" t="s">
        <v>524</v>
      </c>
      <c r="E279" s="2">
        <v>2000</v>
      </c>
      <c r="F279" s="2">
        <v>2000</v>
      </c>
      <c r="G279" s="2">
        <f t="shared" si="7"/>
        <v>0</v>
      </c>
      <c r="H279" s="3">
        <v>45803</v>
      </c>
      <c r="I279" s="2" t="s">
        <v>272</v>
      </c>
    </row>
    <row r="280" spans="1:9" s="2" customFormat="1" x14ac:dyDescent="0.3">
      <c r="A280" s="2" t="s">
        <v>234</v>
      </c>
      <c r="B280" s="2" t="s">
        <v>526</v>
      </c>
      <c r="C280" s="2" t="s">
        <v>525</v>
      </c>
      <c r="D280" s="7" t="s">
        <v>60</v>
      </c>
      <c r="E280" s="2">
        <v>2000</v>
      </c>
      <c r="F280" s="2">
        <v>2000</v>
      </c>
      <c r="G280" s="2">
        <f t="shared" si="7"/>
        <v>0</v>
      </c>
      <c r="H280" s="3">
        <v>45863</v>
      </c>
      <c r="I280" s="2" t="s">
        <v>272</v>
      </c>
    </row>
    <row r="281" spans="1:9" s="2" customFormat="1" x14ac:dyDescent="0.3">
      <c r="A281" s="2" t="s">
        <v>206</v>
      </c>
      <c r="B281" s="2" t="s">
        <v>98</v>
      </c>
      <c r="C281" s="2" t="s">
        <v>203</v>
      </c>
      <c r="D281" s="7" t="s">
        <v>527</v>
      </c>
      <c r="E281" s="2">
        <v>1400</v>
      </c>
      <c r="F281" s="2">
        <v>1400</v>
      </c>
      <c r="G281" s="2">
        <f t="shared" si="7"/>
        <v>0</v>
      </c>
      <c r="H281" s="3">
        <v>45864</v>
      </c>
      <c r="I281" s="2" t="s">
        <v>272</v>
      </c>
    </row>
    <row r="282" spans="1:9" s="2" customFormat="1" x14ac:dyDescent="0.3">
      <c r="A282" s="2" t="s">
        <v>56</v>
      </c>
      <c r="B282" s="2" t="s">
        <v>14</v>
      </c>
      <c r="D282" s="13" t="s">
        <v>528</v>
      </c>
      <c r="E282" s="2">
        <v>200</v>
      </c>
      <c r="F282" s="2">
        <v>200</v>
      </c>
      <c r="G282" s="2">
        <f t="shared" si="7"/>
        <v>0</v>
      </c>
      <c r="H282" s="3">
        <v>45864</v>
      </c>
      <c r="I282" s="2" t="s">
        <v>272</v>
      </c>
    </row>
    <row r="283" spans="1:9" s="2" customFormat="1" ht="43.2" x14ac:dyDescent="0.3">
      <c r="A283" s="2" t="s">
        <v>36</v>
      </c>
      <c r="B283" s="2" t="s">
        <v>19</v>
      </c>
      <c r="D283" s="5" t="s">
        <v>529</v>
      </c>
      <c r="E283" s="2">
        <v>2000</v>
      </c>
      <c r="F283" s="2">
        <v>2000</v>
      </c>
      <c r="G283" s="2">
        <f t="shared" si="7"/>
        <v>0</v>
      </c>
      <c r="H283" s="3">
        <v>45866</v>
      </c>
      <c r="I283" s="2" t="s">
        <v>272</v>
      </c>
    </row>
    <row r="284" spans="1:9" s="2" customFormat="1" x14ac:dyDescent="0.3">
      <c r="A284" s="2" t="s">
        <v>56</v>
      </c>
      <c r="B284" s="2" t="s">
        <v>214</v>
      </c>
      <c r="D284" s="7" t="s">
        <v>189</v>
      </c>
      <c r="E284" s="2">
        <v>2200</v>
      </c>
      <c r="F284" s="2">
        <v>2200</v>
      </c>
      <c r="G284" s="2">
        <f t="shared" si="7"/>
        <v>0</v>
      </c>
      <c r="H284" s="3">
        <v>45866</v>
      </c>
      <c r="I284" s="2" t="s">
        <v>272</v>
      </c>
    </row>
    <row r="285" spans="1:9" s="2" customFormat="1" x14ac:dyDescent="0.3">
      <c r="A285" s="2" t="s">
        <v>473</v>
      </c>
      <c r="B285" s="2" t="s">
        <v>25</v>
      </c>
      <c r="D285" s="7" t="s">
        <v>530</v>
      </c>
      <c r="E285" s="2">
        <v>20000</v>
      </c>
      <c r="F285" s="2">
        <v>20000</v>
      </c>
      <c r="G285" s="2">
        <f t="shared" si="7"/>
        <v>0</v>
      </c>
      <c r="H285" s="3">
        <v>45867</v>
      </c>
      <c r="I285" s="2" t="s">
        <v>272</v>
      </c>
    </row>
    <row r="286" spans="1:9" s="2" customFormat="1" x14ac:dyDescent="0.3">
      <c r="A286" s="2" t="s">
        <v>482</v>
      </c>
      <c r="B286" s="2" t="s">
        <v>531</v>
      </c>
      <c r="D286" s="7" t="s">
        <v>532</v>
      </c>
      <c r="E286" s="2">
        <v>900</v>
      </c>
      <c r="F286" s="2">
        <v>900</v>
      </c>
      <c r="G286" s="2">
        <f t="shared" si="7"/>
        <v>0</v>
      </c>
      <c r="H286" s="3">
        <v>45868</v>
      </c>
      <c r="I286" s="2" t="s">
        <v>272</v>
      </c>
    </row>
    <row r="287" spans="1:9" s="2" customFormat="1" x14ac:dyDescent="0.3">
      <c r="A287" s="2" t="s">
        <v>31</v>
      </c>
      <c r="B287" s="2" t="s">
        <v>72</v>
      </c>
      <c r="D287" s="7" t="s">
        <v>533</v>
      </c>
      <c r="E287" s="2">
        <v>10000</v>
      </c>
      <c r="F287" s="2">
        <v>10000</v>
      </c>
      <c r="G287" s="2">
        <f t="shared" si="7"/>
        <v>0</v>
      </c>
      <c r="H287" s="3">
        <v>45868</v>
      </c>
      <c r="I287" s="2" t="s">
        <v>272</v>
      </c>
    </row>
    <row r="288" spans="1:9" s="2" customFormat="1" x14ac:dyDescent="0.3">
      <c r="A288" s="2" t="s">
        <v>534</v>
      </c>
      <c r="B288" s="2" t="s">
        <v>169</v>
      </c>
      <c r="D288" s="7" t="s">
        <v>535</v>
      </c>
      <c r="E288" s="2">
        <v>7500</v>
      </c>
      <c r="F288" s="2">
        <v>7500</v>
      </c>
      <c r="G288" s="2">
        <f t="shared" si="7"/>
        <v>0</v>
      </c>
      <c r="H288" s="3">
        <v>45868</v>
      </c>
      <c r="I288" s="2" t="s">
        <v>272</v>
      </c>
    </row>
    <row r="289" spans="1:9" s="2" customFormat="1" x14ac:dyDescent="0.3">
      <c r="A289" s="2" t="s">
        <v>101</v>
      </c>
      <c r="B289" s="2" t="s">
        <v>536</v>
      </c>
      <c r="D289" s="7" t="s">
        <v>48</v>
      </c>
      <c r="E289" s="2">
        <v>750</v>
      </c>
      <c r="F289" s="2">
        <v>750</v>
      </c>
      <c r="G289" s="2">
        <f t="shared" si="7"/>
        <v>0</v>
      </c>
      <c r="H289" s="3">
        <v>45869</v>
      </c>
      <c r="I289" s="2" t="s">
        <v>272</v>
      </c>
    </row>
    <row r="290" spans="1:9" s="2" customFormat="1" x14ac:dyDescent="0.3">
      <c r="A290" s="2" t="s">
        <v>135</v>
      </c>
      <c r="D290" s="7" t="s">
        <v>537</v>
      </c>
      <c r="E290" s="2">
        <v>3150</v>
      </c>
      <c r="F290" s="2">
        <v>3150</v>
      </c>
      <c r="G290" s="2">
        <f t="shared" si="7"/>
        <v>0</v>
      </c>
      <c r="H290" s="3">
        <v>45869</v>
      </c>
      <c r="I290" s="2" t="s">
        <v>274</v>
      </c>
    </row>
    <row r="291" spans="1:9" s="2" customFormat="1" x14ac:dyDescent="0.3">
      <c r="A291" s="2" t="s">
        <v>7</v>
      </c>
      <c r="B291" s="2" t="s">
        <v>9</v>
      </c>
      <c r="D291" s="7" t="s">
        <v>539</v>
      </c>
      <c r="E291" s="2">
        <v>5000</v>
      </c>
      <c r="F291" s="2">
        <v>5000</v>
      </c>
      <c r="G291" s="2">
        <f t="shared" si="7"/>
        <v>0</v>
      </c>
      <c r="H291" s="3">
        <v>45870</v>
      </c>
      <c r="I291" s="2" t="s">
        <v>272</v>
      </c>
    </row>
    <row r="292" spans="1:9" s="2" customFormat="1" x14ac:dyDescent="0.3">
      <c r="A292" s="2" t="s">
        <v>540</v>
      </c>
      <c r="B292" s="2" t="s">
        <v>19</v>
      </c>
      <c r="D292" s="7" t="s">
        <v>126</v>
      </c>
      <c r="E292" s="2">
        <v>10000</v>
      </c>
      <c r="F292" s="2">
        <v>10000</v>
      </c>
      <c r="G292" s="2">
        <f t="shared" si="7"/>
        <v>0</v>
      </c>
      <c r="H292" s="3">
        <v>45870</v>
      </c>
      <c r="I292" s="2" t="s">
        <v>272</v>
      </c>
    </row>
    <row r="293" spans="1:9" s="2" customFormat="1" x14ac:dyDescent="0.3">
      <c r="A293" s="2" t="s">
        <v>288</v>
      </c>
      <c r="B293" s="2" t="s">
        <v>541</v>
      </c>
      <c r="D293" s="7" t="s">
        <v>60</v>
      </c>
      <c r="E293" s="2">
        <v>1750</v>
      </c>
      <c r="F293" s="2">
        <v>1750</v>
      </c>
      <c r="G293" s="2">
        <f t="shared" si="7"/>
        <v>0</v>
      </c>
      <c r="H293" s="3">
        <v>45871</v>
      </c>
      <c r="I293" s="2" t="s">
        <v>272</v>
      </c>
    </row>
    <row r="294" spans="1:9" s="2" customFormat="1" x14ac:dyDescent="0.3">
      <c r="A294" s="2" t="s">
        <v>514</v>
      </c>
      <c r="D294" s="7" t="s">
        <v>542</v>
      </c>
      <c r="E294" s="2">
        <v>4000</v>
      </c>
      <c r="F294" s="2">
        <v>4000</v>
      </c>
      <c r="G294" s="2">
        <f t="shared" si="7"/>
        <v>0</v>
      </c>
      <c r="H294" s="3">
        <v>45871</v>
      </c>
      <c r="I294" s="2" t="s">
        <v>274</v>
      </c>
    </row>
    <row r="295" spans="1:9" s="2" customFormat="1" x14ac:dyDescent="0.3">
      <c r="A295" s="2" t="s">
        <v>543</v>
      </c>
      <c r="B295" s="2" t="s">
        <v>72</v>
      </c>
      <c r="D295" s="7" t="s">
        <v>60</v>
      </c>
      <c r="E295" s="2">
        <v>1500</v>
      </c>
      <c r="F295" s="2">
        <v>1500</v>
      </c>
      <c r="G295" s="2">
        <f t="shared" si="7"/>
        <v>0</v>
      </c>
      <c r="H295" s="3">
        <v>45871</v>
      </c>
      <c r="I295" s="2" t="s">
        <v>272</v>
      </c>
    </row>
    <row r="296" spans="1:9" s="2" customFormat="1" ht="28.8" x14ac:dyDescent="0.3">
      <c r="A296" s="2" t="s">
        <v>534</v>
      </c>
      <c r="B296" s="2" t="s">
        <v>169</v>
      </c>
      <c r="D296" s="5" t="s">
        <v>544</v>
      </c>
      <c r="E296" s="2">
        <v>7500</v>
      </c>
      <c r="F296" s="2">
        <v>0</v>
      </c>
      <c r="G296" s="2">
        <f t="shared" si="7"/>
        <v>7500</v>
      </c>
      <c r="H296" s="3">
        <v>45873</v>
      </c>
      <c r="I296" s="2" t="s">
        <v>272</v>
      </c>
    </row>
    <row r="297" spans="1:9" s="2" customFormat="1" x14ac:dyDescent="0.3">
      <c r="A297" s="2" t="s">
        <v>7</v>
      </c>
      <c r="B297" s="2" t="s">
        <v>19</v>
      </c>
      <c r="D297" s="7" t="s">
        <v>545</v>
      </c>
      <c r="E297" s="2">
        <v>5000</v>
      </c>
      <c r="F297" s="2">
        <v>5000</v>
      </c>
      <c r="G297" s="2">
        <f t="shared" si="7"/>
        <v>0</v>
      </c>
      <c r="H297" s="3">
        <v>45873</v>
      </c>
      <c r="I297" s="2" t="s">
        <v>272</v>
      </c>
    </row>
    <row r="298" spans="1:9" s="2" customFormat="1" x14ac:dyDescent="0.3">
      <c r="A298" s="2" t="s">
        <v>56</v>
      </c>
      <c r="B298" s="2" t="s">
        <v>14</v>
      </c>
      <c r="D298" s="7" t="s">
        <v>546</v>
      </c>
      <c r="E298" s="2">
        <v>600</v>
      </c>
      <c r="F298" s="2">
        <v>600</v>
      </c>
      <c r="G298" s="2">
        <f t="shared" si="7"/>
        <v>0</v>
      </c>
      <c r="H298" s="3">
        <v>45873</v>
      </c>
      <c r="I298" s="2" t="s">
        <v>272</v>
      </c>
    </row>
    <row r="299" spans="1:9" s="2" customFormat="1" x14ac:dyDescent="0.3">
      <c r="A299" s="2" t="s">
        <v>341</v>
      </c>
      <c r="B299" s="2" t="s">
        <v>547</v>
      </c>
      <c r="D299" s="7" t="s">
        <v>160</v>
      </c>
      <c r="E299" s="2">
        <v>400</v>
      </c>
      <c r="F299" s="2">
        <v>400</v>
      </c>
      <c r="G299" s="2">
        <f t="shared" si="7"/>
        <v>0</v>
      </c>
      <c r="H299" s="3">
        <v>45873</v>
      </c>
      <c r="I299" s="2" t="s">
        <v>272</v>
      </c>
    </row>
    <row r="300" spans="1:9" s="2" customFormat="1" x14ac:dyDescent="0.3">
      <c r="A300" s="2" t="s">
        <v>2</v>
      </c>
      <c r="B300" s="2" t="s">
        <v>114</v>
      </c>
      <c r="D300" s="7" t="s">
        <v>548</v>
      </c>
      <c r="E300" s="2">
        <v>500</v>
      </c>
      <c r="F300" s="2">
        <v>500</v>
      </c>
      <c r="G300" s="2">
        <f t="shared" si="7"/>
        <v>0</v>
      </c>
      <c r="H300" s="3">
        <v>45873</v>
      </c>
      <c r="I300" s="2" t="s">
        <v>272</v>
      </c>
    </row>
    <row r="301" spans="1:9" s="2" customFormat="1" x14ac:dyDescent="0.3">
      <c r="A301" s="2" t="s">
        <v>7</v>
      </c>
      <c r="B301" s="2" t="s">
        <v>19</v>
      </c>
      <c r="D301" s="7" t="s">
        <v>549</v>
      </c>
      <c r="E301" s="2">
        <v>16750</v>
      </c>
      <c r="F301" s="2">
        <v>16750</v>
      </c>
      <c r="G301" s="2">
        <f t="shared" si="7"/>
        <v>0</v>
      </c>
      <c r="H301" s="3">
        <v>45874</v>
      </c>
      <c r="I301" s="2" t="s">
        <v>273</v>
      </c>
    </row>
    <row r="302" spans="1:9" s="2" customFormat="1" x14ac:dyDescent="0.3">
      <c r="A302" s="2" t="s">
        <v>368</v>
      </c>
      <c r="B302" s="2" t="s">
        <v>122</v>
      </c>
      <c r="D302" s="7" t="s">
        <v>60</v>
      </c>
      <c r="E302" s="2">
        <v>1500</v>
      </c>
      <c r="F302" s="2">
        <v>0</v>
      </c>
      <c r="G302" s="2">
        <f t="shared" si="7"/>
        <v>1500</v>
      </c>
      <c r="H302" s="3">
        <v>45875</v>
      </c>
      <c r="I302" s="2" t="s">
        <v>272</v>
      </c>
    </row>
    <row r="303" spans="1:9" s="2" customFormat="1" x14ac:dyDescent="0.3">
      <c r="A303" s="2" t="s">
        <v>47</v>
      </c>
      <c r="B303" s="2" t="s">
        <v>550</v>
      </c>
      <c r="D303" s="7" t="s">
        <v>60</v>
      </c>
      <c r="E303" s="2">
        <v>1500</v>
      </c>
      <c r="F303" s="2">
        <v>0</v>
      </c>
      <c r="G303" s="2">
        <f t="shared" si="7"/>
        <v>1500</v>
      </c>
      <c r="H303" s="3">
        <v>45875</v>
      </c>
      <c r="I303" s="2" t="s">
        <v>272</v>
      </c>
    </row>
    <row r="304" spans="1:9" s="2" customFormat="1" ht="28.8" x14ac:dyDescent="0.3">
      <c r="A304" s="2" t="s">
        <v>321</v>
      </c>
      <c r="B304" s="2" t="s">
        <v>30</v>
      </c>
      <c r="D304" s="5" t="s">
        <v>551</v>
      </c>
      <c r="E304" s="2">
        <v>2000</v>
      </c>
      <c r="F304" s="2">
        <v>2000</v>
      </c>
      <c r="G304" s="2">
        <f t="shared" si="7"/>
        <v>0</v>
      </c>
      <c r="H304" s="3">
        <v>45875</v>
      </c>
      <c r="I304" s="2" t="s">
        <v>272</v>
      </c>
    </row>
    <row r="305" spans="1:9" s="2" customFormat="1" x14ac:dyDescent="0.3">
      <c r="A305" s="2" t="s">
        <v>234</v>
      </c>
      <c r="B305" s="2" t="s">
        <v>9</v>
      </c>
      <c r="C305" s="2" t="s">
        <v>552</v>
      </c>
      <c r="D305" s="7" t="s">
        <v>60</v>
      </c>
      <c r="E305" s="2">
        <v>2000</v>
      </c>
      <c r="F305" s="2">
        <v>2000</v>
      </c>
      <c r="G305" s="2">
        <f t="shared" si="7"/>
        <v>0</v>
      </c>
      <c r="H305" s="3">
        <v>45875</v>
      </c>
      <c r="I305" s="2" t="s">
        <v>272</v>
      </c>
    </row>
    <row r="306" spans="1:9" s="2" customFormat="1" ht="43.2" x14ac:dyDescent="0.3">
      <c r="A306" s="2" t="s">
        <v>553</v>
      </c>
      <c r="B306" s="2" t="s">
        <v>329</v>
      </c>
      <c r="D306" s="5" t="s">
        <v>554</v>
      </c>
      <c r="E306" s="2">
        <v>2000</v>
      </c>
      <c r="F306" s="2">
        <v>0</v>
      </c>
      <c r="G306" s="2">
        <f t="shared" si="7"/>
        <v>2000</v>
      </c>
      <c r="H306" s="3">
        <v>45876</v>
      </c>
      <c r="I306" s="2" t="s">
        <v>272</v>
      </c>
    </row>
    <row r="307" spans="1:9" s="2" customFormat="1" x14ac:dyDescent="0.3">
      <c r="A307" s="2" t="s">
        <v>555</v>
      </c>
      <c r="B307" s="2" t="s">
        <v>17</v>
      </c>
      <c r="C307" s="2" t="s">
        <v>556</v>
      </c>
      <c r="D307" s="7" t="s">
        <v>557</v>
      </c>
      <c r="E307" s="2">
        <v>4000</v>
      </c>
      <c r="F307" s="2">
        <v>0</v>
      </c>
      <c r="G307" s="2">
        <f t="shared" si="7"/>
        <v>4000</v>
      </c>
      <c r="H307" s="3">
        <v>45877</v>
      </c>
      <c r="I307" s="2" t="s">
        <v>272</v>
      </c>
    </row>
    <row r="308" spans="1:9" s="2" customFormat="1" x14ac:dyDescent="0.3">
      <c r="A308" s="2" t="s">
        <v>368</v>
      </c>
      <c r="B308" s="2" t="s">
        <v>19</v>
      </c>
      <c r="D308" s="7" t="s">
        <v>558</v>
      </c>
      <c r="E308" s="2">
        <v>2000</v>
      </c>
      <c r="F308" s="2">
        <v>0</v>
      </c>
      <c r="G308" s="2">
        <f t="shared" si="7"/>
        <v>2000</v>
      </c>
      <c r="H308" s="3">
        <v>45877</v>
      </c>
      <c r="I308" s="2" t="s">
        <v>272</v>
      </c>
    </row>
    <row r="309" spans="1:9" s="2" customFormat="1" ht="28.8" x14ac:dyDescent="0.3">
      <c r="A309" s="2" t="s">
        <v>559</v>
      </c>
      <c r="B309" s="2" t="s">
        <v>109</v>
      </c>
      <c r="D309" s="5" t="s">
        <v>266</v>
      </c>
      <c r="E309" s="2">
        <v>3000</v>
      </c>
      <c r="F309" s="2">
        <v>3000</v>
      </c>
      <c r="G309" s="2">
        <f t="shared" si="7"/>
        <v>0</v>
      </c>
      <c r="H309" s="3">
        <v>45878</v>
      </c>
      <c r="I309" s="2" t="s">
        <v>273</v>
      </c>
    </row>
    <row r="310" spans="1:9" s="2" customFormat="1" x14ac:dyDescent="0.3">
      <c r="A310" s="2" t="s">
        <v>153</v>
      </c>
      <c r="B310" s="2" t="s">
        <v>72</v>
      </c>
      <c r="C310" s="2" t="s">
        <v>444</v>
      </c>
      <c r="D310" s="5" t="s">
        <v>560</v>
      </c>
      <c r="E310" s="2">
        <v>1100</v>
      </c>
      <c r="F310" s="2">
        <v>1100</v>
      </c>
      <c r="G310" s="2">
        <f t="shared" si="7"/>
        <v>0</v>
      </c>
      <c r="H310" s="3">
        <v>45878</v>
      </c>
      <c r="I310" s="2" t="s">
        <v>272</v>
      </c>
    </row>
    <row r="311" spans="1:9" s="2" customFormat="1" x14ac:dyDescent="0.3">
      <c r="A311" s="2" t="s">
        <v>561</v>
      </c>
      <c r="B311" s="2" t="s">
        <v>19</v>
      </c>
      <c r="D311" s="7" t="s">
        <v>562</v>
      </c>
      <c r="E311" s="2">
        <v>1000</v>
      </c>
      <c r="F311" s="2">
        <v>1000</v>
      </c>
      <c r="G311" s="2">
        <f t="shared" si="7"/>
        <v>0</v>
      </c>
      <c r="H311" s="3">
        <v>45878</v>
      </c>
      <c r="I311" s="2" t="s">
        <v>272</v>
      </c>
    </row>
    <row r="312" spans="1:9" s="2" customFormat="1" x14ac:dyDescent="0.3">
      <c r="A312" s="2" t="s">
        <v>146</v>
      </c>
      <c r="B312" s="2" t="s">
        <v>144</v>
      </c>
      <c r="D312" s="7" t="s">
        <v>563</v>
      </c>
      <c r="E312" s="2">
        <v>5000</v>
      </c>
      <c r="F312" s="2">
        <v>0</v>
      </c>
      <c r="G312" s="2">
        <f t="shared" si="7"/>
        <v>5000</v>
      </c>
      <c r="H312" s="3">
        <v>45878</v>
      </c>
      <c r="I312" s="2" t="s">
        <v>274</v>
      </c>
    </row>
    <row r="313" spans="1:9" s="2" customFormat="1" x14ac:dyDescent="0.3">
      <c r="A313" s="2" t="s">
        <v>221</v>
      </c>
      <c r="B313" s="2" t="s">
        <v>223</v>
      </c>
      <c r="C313" s="2" t="s">
        <v>352</v>
      </c>
      <c r="D313" s="7" t="s">
        <v>564</v>
      </c>
      <c r="E313" s="2">
        <v>2000</v>
      </c>
      <c r="F313" s="2">
        <v>2000</v>
      </c>
      <c r="G313" s="2">
        <f t="shared" si="7"/>
        <v>0</v>
      </c>
      <c r="H313" s="3">
        <v>45880</v>
      </c>
      <c r="I313" s="2" t="s">
        <v>273</v>
      </c>
    </row>
    <row r="314" spans="1:9" s="2" customFormat="1" x14ac:dyDescent="0.3">
      <c r="A314" s="2" t="s">
        <v>157</v>
      </c>
      <c r="B314" s="2" t="s">
        <v>72</v>
      </c>
      <c r="D314" s="7" t="s">
        <v>565</v>
      </c>
      <c r="E314" s="2">
        <v>500</v>
      </c>
      <c r="F314" s="2">
        <v>500</v>
      </c>
      <c r="G314" s="2">
        <f t="shared" ref="G314:G378" si="8">E314-F314</f>
        <v>0</v>
      </c>
      <c r="H314" s="3">
        <v>45880</v>
      </c>
      <c r="I314" s="2" t="s">
        <v>272</v>
      </c>
    </row>
    <row r="315" spans="1:9" s="2" customFormat="1" ht="43.2" x14ac:dyDescent="0.3">
      <c r="A315" s="2" t="s">
        <v>58</v>
      </c>
      <c r="B315" s="2" t="s">
        <v>109</v>
      </c>
      <c r="D315" s="5" t="s">
        <v>566</v>
      </c>
      <c r="E315" s="2">
        <v>2400</v>
      </c>
      <c r="F315" s="2">
        <v>2400</v>
      </c>
      <c r="G315" s="2">
        <f t="shared" si="8"/>
        <v>0</v>
      </c>
      <c r="H315" s="3">
        <v>45880</v>
      </c>
      <c r="I315" s="2" t="s">
        <v>567</v>
      </c>
    </row>
    <row r="316" spans="1:9" s="2" customFormat="1" x14ac:dyDescent="0.3">
      <c r="A316" s="2" t="s">
        <v>433</v>
      </c>
      <c r="B316" s="2" t="s">
        <v>72</v>
      </c>
      <c r="D316" s="7" t="s">
        <v>568</v>
      </c>
      <c r="E316" s="2">
        <v>750</v>
      </c>
      <c r="F316" s="2">
        <v>750</v>
      </c>
      <c r="G316" s="2">
        <f t="shared" si="8"/>
        <v>0</v>
      </c>
      <c r="H316" s="3">
        <v>45880</v>
      </c>
      <c r="I316" s="2" t="s">
        <v>272</v>
      </c>
    </row>
    <row r="317" spans="1:9" s="2" customFormat="1" x14ac:dyDescent="0.3">
      <c r="A317" s="2" t="s">
        <v>569</v>
      </c>
      <c r="D317" s="7" t="s">
        <v>570</v>
      </c>
      <c r="E317" s="2">
        <v>13500</v>
      </c>
      <c r="F317" s="2">
        <v>13500</v>
      </c>
      <c r="G317" s="2">
        <f t="shared" si="8"/>
        <v>0</v>
      </c>
      <c r="H317" s="3">
        <v>45881</v>
      </c>
      <c r="I317" s="2" t="s">
        <v>274</v>
      </c>
    </row>
    <row r="318" spans="1:9" s="2" customFormat="1" ht="28.8" x14ac:dyDescent="0.3">
      <c r="A318" s="2" t="s">
        <v>571</v>
      </c>
      <c r="B318" s="2" t="s">
        <v>30</v>
      </c>
      <c r="D318" s="5" t="s">
        <v>572</v>
      </c>
      <c r="E318" s="2">
        <v>1250</v>
      </c>
      <c r="F318" s="2">
        <v>1250</v>
      </c>
      <c r="G318" s="2">
        <f t="shared" si="8"/>
        <v>0</v>
      </c>
      <c r="H318" s="3">
        <v>45881</v>
      </c>
      <c r="I318" s="2" t="s">
        <v>272</v>
      </c>
    </row>
    <row r="319" spans="1:9" s="2" customFormat="1" x14ac:dyDescent="0.3">
      <c r="A319" s="2" t="s">
        <v>20</v>
      </c>
      <c r="B319" s="2" t="s">
        <v>19</v>
      </c>
      <c r="D319" s="7" t="s">
        <v>573</v>
      </c>
      <c r="E319" s="2">
        <v>15000</v>
      </c>
      <c r="F319" s="2">
        <v>0</v>
      </c>
      <c r="G319" s="2">
        <f t="shared" si="8"/>
        <v>15000</v>
      </c>
      <c r="H319" s="3">
        <v>45881</v>
      </c>
      <c r="I319" s="2" t="s">
        <v>272</v>
      </c>
    </row>
    <row r="320" spans="1:9" s="2" customFormat="1" ht="28.8" x14ac:dyDescent="0.3">
      <c r="A320" s="2" t="s">
        <v>574</v>
      </c>
      <c r="B320" s="2" t="s">
        <v>30</v>
      </c>
      <c r="D320" s="5" t="s">
        <v>575</v>
      </c>
      <c r="E320" s="2">
        <v>4000</v>
      </c>
      <c r="F320" s="2">
        <v>4000</v>
      </c>
      <c r="G320" s="2">
        <f t="shared" si="8"/>
        <v>0</v>
      </c>
      <c r="H320" s="3">
        <v>45882</v>
      </c>
      <c r="I320" s="2" t="s">
        <v>272</v>
      </c>
    </row>
    <row r="321" spans="1:9" s="2" customFormat="1" ht="28.8" x14ac:dyDescent="0.3">
      <c r="A321" s="2" t="s">
        <v>20</v>
      </c>
      <c r="B321" s="2" t="s">
        <v>19</v>
      </c>
      <c r="D321" s="5" t="s">
        <v>576</v>
      </c>
      <c r="E321" s="2">
        <v>5000</v>
      </c>
      <c r="F321" s="2">
        <v>0</v>
      </c>
      <c r="G321" s="2">
        <f t="shared" si="8"/>
        <v>5000</v>
      </c>
      <c r="H321" s="3">
        <v>45882</v>
      </c>
      <c r="I321" s="2" t="s">
        <v>272</v>
      </c>
    </row>
    <row r="322" spans="1:9" s="2" customFormat="1" x14ac:dyDescent="0.3">
      <c r="A322" s="2" t="s">
        <v>433</v>
      </c>
      <c r="B322" s="2" t="s">
        <v>72</v>
      </c>
      <c r="D322" s="7" t="s">
        <v>577</v>
      </c>
      <c r="E322" s="2">
        <v>1000</v>
      </c>
      <c r="F322" s="2">
        <v>1000</v>
      </c>
      <c r="G322" s="2">
        <f t="shared" si="8"/>
        <v>0</v>
      </c>
      <c r="H322" s="3">
        <v>45882</v>
      </c>
      <c r="I322" s="2" t="s">
        <v>272</v>
      </c>
    </row>
    <row r="323" spans="1:9" s="2" customFormat="1" x14ac:dyDescent="0.3">
      <c r="A323" s="2" t="s">
        <v>21</v>
      </c>
      <c r="B323" s="2" t="s">
        <v>19</v>
      </c>
      <c r="D323" s="7" t="s">
        <v>578</v>
      </c>
      <c r="E323" s="2">
        <v>2000</v>
      </c>
      <c r="F323" s="2">
        <v>0</v>
      </c>
      <c r="G323" s="2">
        <f t="shared" si="8"/>
        <v>2000</v>
      </c>
      <c r="H323" s="3">
        <v>45882</v>
      </c>
      <c r="I323" s="2" t="s">
        <v>272</v>
      </c>
    </row>
    <row r="324" spans="1:9" s="2" customFormat="1" ht="43.2" x14ac:dyDescent="0.3">
      <c r="A324" s="2" t="s">
        <v>579</v>
      </c>
      <c r="B324" s="2" t="s">
        <v>536</v>
      </c>
      <c r="D324" s="5" t="s">
        <v>580</v>
      </c>
      <c r="E324" s="2">
        <v>5000</v>
      </c>
      <c r="F324" s="2">
        <v>0</v>
      </c>
      <c r="G324" s="2">
        <f t="shared" si="8"/>
        <v>5000</v>
      </c>
      <c r="H324" s="3">
        <v>45883</v>
      </c>
      <c r="I324" s="2" t="s">
        <v>272</v>
      </c>
    </row>
    <row r="325" spans="1:9" s="2" customFormat="1" x14ac:dyDescent="0.3">
      <c r="A325" s="2" t="s">
        <v>581</v>
      </c>
      <c r="B325" s="2" t="s">
        <v>72</v>
      </c>
      <c r="D325" s="7" t="s">
        <v>578</v>
      </c>
      <c r="E325" s="2">
        <v>1000</v>
      </c>
      <c r="F325" s="2">
        <v>0</v>
      </c>
      <c r="G325" s="2">
        <f t="shared" si="8"/>
        <v>1000</v>
      </c>
      <c r="H325" s="3">
        <v>45883</v>
      </c>
      <c r="I325" s="2" t="s">
        <v>272</v>
      </c>
    </row>
    <row r="326" spans="1:9" s="2" customFormat="1" x14ac:dyDescent="0.3">
      <c r="A326" s="2" t="s">
        <v>116</v>
      </c>
      <c r="B326" s="2" t="s">
        <v>114</v>
      </c>
      <c r="D326" s="7" t="s">
        <v>582</v>
      </c>
      <c r="E326" s="2">
        <v>2000</v>
      </c>
      <c r="F326" s="2">
        <v>2000</v>
      </c>
      <c r="G326" s="2">
        <f t="shared" si="8"/>
        <v>0</v>
      </c>
      <c r="H326" s="3">
        <v>45883</v>
      </c>
      <c r="I326" s="2" t="s">
        <v>272</v>
      </c>
    </row>
    <row r="327" spans="1:9" s="2" customFormat="1" x14ac:dyDescent="0.3">
      <c r="A327" s="2" t="s">
        <v>583</v>
      </c>
      <c r="B327" s="2" t="s">
        <v>72</v>
      </c>
      <c r="C327" s="2" t="s">
        <v>584</v>
      </c>
      <c r="D327" s="7" t="s">
        <v>585</v>
      </c>
      <c r="E327" s="2">
        <v>800</v>
      </c>
      <c r="F327" s="2">
        <v>800</v>
      </c>
      <c r="G327" s="2">
        <f t="shared" si="8"/>
        <v>0</v>
      </c>
      <c r="H327" s="3">
        <v>45884</v>
      </c>
      <c r="I327" s="2" t="s">
        <v>272</v>
      </c>
    </row>
    <row r="328" spans="1:9" s="2" customFormat="1" x14ac:dyDescent="0.3">
      <c r="A328" s="2" t="s">
        <v>583</v>
      </c>
      <c r="B328" s="2" t="s">
        <v>586</v>
      </c>
      <c r="D328" s="7" t="s">
        <v>587</v>
      </c>
      <c r="E328" s="2">
        <v>600</v>
      </c>
      <c r="F328" s="2">
        <v>600</v>
      </c>
      <c r="G328" s="2">
        <f t="shared" si="8"/>
        <v>0</v>
      </c>
      <c r="H328" s="3">
        <v>45884</v>
      </c>
      <c r="I328" s="2" t="s">
        <v>272</v>
      </c>
    </row>
    <row r="329" spans="1:9" s="2" customFormat="1" x14ac:dyDescent="0.3">
      <c r="A329" s="2" t="s">
        <v>21</v>
      </c>
      <c r="B329" s="2" t="s">
        <v>99</v>
      </c>
      <c r="D329" s="7" t="s">
        <v>588</v>
      </c>
      <c r="E329" s="2">
        <v>1500</v>
      </c>
      <c r="F329" s="2">
        <v>0</v>
      </c>
      <c r="G329" s="2">
        <f t="shared" si="8"/>
        <v>1500</v>
      </c>
      <c r="H329" s="3">
        <v>45884</v>
      </c>
      <c r="I329" s="2" t="s">
        <v>272</v>
      </c>
    </row>
    <row r="330" spans="1:9" s="2" customFormat="1" x14ac:dyDescent="0.3">
      <c r="A330" s="2" t="s">
        <v>330</v>
      </c>
      <c r="B330" s="2" t="s">
        <v>589</v>
      </c>
      <c r="D330" s="7" t="s">
        <v>590</v>
      </c>
      <c r="E330" s="2">
        <v>400</v>
      </c>
      <c r="F330" s="2">
        <v>400</v>
      </c>
      <c r="G330" s="2">
        <f t="shared" si="8"/>
        <v>0</v>
      </c>
      <c r="H330" s="3">
        <v>45885</v>
      </c>
      <c r="I330" s="2" t="s">
        <v>272</v>
      </c>
    </row>
    <row r="331" spans="1:9" s="2" customFormat="1" x14ac:dyDescent="0.3">
      <c r="A331" s="2" t="s">
        <v>255</v>
      </c>
      <c r="B331" s="2" t="s">
        <v>72</v>
      </c>
      <c r="D331" s="7" t="s">
        <v>591</v>
      </c>
      <c r="E331" s="2">
        <v>12500</v>
      </c>
      <c r="F331" s="2">
        <v>0</v>
      </c>
      <c r="G331" s="2">
        <f t="shared" si="8"/>
        <v>12500</v>
      </c>
      <c r="H331" s="3">
        <v>45885</v>
      </c>
      <c r="I331" s="2" t="s">
        <v>272</v>
      </c>
    </row>
    <row r="332" spans="1:9" s="2" customFormat="1" ht="28.8" x14ac:dyDescent="0.3">
      <c r="A332" s="2" t="s">
        <v>16</v>
      </c>
      <c r="B332" s="2" t="s">
        <v>17</v>
      </c>
      <c r="D332" s="5" t="s">
        <v>592</v>
      </c>
      <c r="E332" s="2">
        <v>2500</v>
      </c>
      <c r="F332" s="2">
        <v>0</v>
      </c>
      <c r="G332" s="2">
        <f t="shared" si="8"/>
        <v>2500</v>
      </c>
      <c r="H332" s="3">
        <v>45885</v>
      </c>
      <c r="I332" s="2" t="s">
        <v>272</v>
      </c>
    </row>
    <row r="333" spans="1:9" s="2" customFormat="1" x14ac:dyDescent="0.3">
      <c r="A333" s="2" t="s">
        <v>593</v>
      </c>
      <c r="B333" s="2" t="s">
        <v>318</v>
      </c>
      <c r="D333" s="7" t="s">
        <v>594</v>
      </c>
      <c r="E333" s="2">
        <v>3000</v>
      </c>
      <c r="F333" s="2">
        <v>3000</v>
      </c>
      <c r="G333" s="2">
        <f t="shared" si="8"/>
        <v>0</v>
      </c>
      <c r="H333" s="3">
        <v>45885</v>
      </c>
      <c r="I333" s="2" t="s">
        <v>272</v>
      </c>
    </row>
    <row r="334" spans="1:9" s="2" customFormat="1" x14ac:dyDescent="0.3">
      <c r="A334" s="2" t="s">
        <v>540</v>
      </c>
      <c r="B334" s="2" t="s">
        <v>318</v>
      </c>
      <c r="D334" s="7" t="s">
        <v>595</v>
      </c>
      <c r="E334" s="2">
        <v>5000</v>
      </c>
      <c r="F334" s="2">
        <v>5000</v>
      </c>
      <c r="G334" s="2">
        <f t="shared" si="8"/>
        <v>0</v>
      </c>
      <c r="H334" s="3">
        <v>45885</v>
      </c>
      <c r="I334" s="2" t="s">
        <v>272</v>
      </c>
    </row>
    <row r="335" spans="1:9" s="2" customFormat="1" ht="57.6" x14ac:dyDescent="0.3">
      <c r="A335" s="2" t="s">
        <v>100</v>
      </c>
      <c r="B335" s="2" t="s">
        <v>596</v>
      </c>
      <c r="D335" s="5" t="s">
        <v>597</v>
      </c>
      <c r="E335" s="2">
        <v>6000</v>
      </c>
      <c r="F335" s="2">
        <v>6000</v>
      </c>
      <c r="G335" s="2">
        <f t="shared" si="8"/>
        <v>0</v>
      </c>
      <c r="H335" s="3">
        <v>45887</v>
      </c>
      <c r="I335" s="2" t="s">
        <v>272</v>
      </c>
    </row>
    <row r="336" spans="1:9" s="2" customFormat="1" ht="57.6" x14ac:dyDescent="0.3">
      <c r="A336" s="2" t="s">
        <v>206</v>
      </c>
      <c r="B336" s="2" t="s">
        <v>98</v>
      </c>
      <c r="D336" s="5" t="s">
        <v>598</v>
      </c>
      <c r="E336" s="2">
        <v>13750</v>
      </c>
      <c r="F336" s="2">
        <v>0</v>
      </c>
      <c r="G336" s="2">
        <f t="shared" si="8"/>
        <v>13750</v>
      </c>
      <c r="H336" s="3">
        <v>45887</v>
      </c>
      <c r="I336" s="2" t="s">
        <v>273</v>
      </c>
    </row>
    <row r="337" spans="1:9" s="2" customFormat="1" x14ac:dyDescent="0.3">
      <c r="A337" s="2" t="s">
        <v>599</v>
      </c>
      <c r="B337" s="2" t="s">
        <v>59</v>
      </c>
      <c r="D337" s="7" t="s">
        <v>600</v>
      </c>
      <c r="E337" s="2">
        <v>1000</v>
      </c>
      <c r="F337" s="2">
        <v>0</v>
      </c>
      <c r="G337" s="2">
        <f t="shared" si="8"/>
        <v>1000</v>
      </c>
      <c r="H337" s="3">
        <v>45887</v>
      </c>
      <c r="I337" s="2" t="s">
        <v>272</v>
      </c>
    </row>
    <row r="338" spans="1:9" s="2" customFormat="1" x14ac:dyDescent="0.3">
      <c r="A338" s="2" t="s">
        <v>601</v>
      </c>
      <c r="B338" s="2" t="s">
        <v>602</v>
      </c>
      <c r="D338" s="7" t="s">
        <v>603</v>
      </c>
      <c r="E338" s="2">
        <v>1000</v>
      </c>
      <c r="F338" s="2">
        <v>1000</v>
      </c>
      <c r="G338" s="2">
        <f t="shared" si="8"/>
        <v>0</v>
      </c>
      <c r="H338" s="3">
        <v>45888</v>
      </c>
      <c r="I338" s="2" t="s">
        <v>272</v>
      </c>
    </row>
    <row r="339" spans="1:9" s="2" customFormat="1" x14ac:dyDescent="0.3">
      <c r="A339" s="2" t="s">
        <v>7</v>
      </c>
      <c r="B339" s="2" t="s">
        <v>9</v>
      </c>
      <c r="D339" s="7" t="s">
        <v>455</v>
      </c>
      <c r="E339" s="2">
        <v>4000</v>
      </c>
      <c r="F339" s="2">
        <v>4000</v>
      </c>
      <c r="G339" s="2">
        <f t="shared" si="8"/>
        <v>0</v>
      </c>
      <c r="H339" s="3">
        <v>45889</v>
      </c>
      <c r="I339" s="2" t="s">
        <v>272</v>
      </c>
    </row>
    <row r="340" spans="1:9" s="2" customFormat="1" ht="43.2" x14ac:dyDescent="0.3">
      <c r="A340" s="2" t="s">
        <v>7</v>
      </c>
      <c r="B340" s="2" t="s">
        <v>9</v>
      </c>
      <c r="D340" s="5" t="s">
        <v>604</v>
      </c>
      <c r="E340" s="2">
        <v>3000</v>
      </c>
      <c r="F340" s="2">
        <v>3000</v>
      </c>
      <c r="G340" s="2">
        <f t="shared" si="8"/>
        <v>0</v>
      </c>
      <c r="H340" s="3">
        <v>45889</v>
      </c>
      <c r="I340" s="2" t="s">
        <v>272</v>
      </c>
    </row>
    <row r="341" spans="1:9" s="2" customFormat="1" ht="28.8" x14ac:dyDescent="0.3">
      <c r="A341" s="2" t="s">
        <v>146</v>
      </c>
      <c r="B341" s="2" t="s">
        <v>144</v>
      </c>
      <c r="D341" s="5" t="s">
        <v>605</v>
      </c>
      <c r="G341" s="2">
        <f t="shared" si="8"/>
        <v>0</v>
      </c>
      <c r="H341" s="3">
        <v>45889</v>
      </c>
      <c r="I341" s="2" t="s">
        <v>273</v>
      </c>
    </row>
    <row r="342" spans="1:9" s="2" customFormat="1" x14ac:dyDescent="0.3">
      <c r="A342" s="2" t="s">
        <v>100</v>
      </c>
      <c r="B342" s="2" t="s">
        <v>606</v>
      </c>
      <c r="D342" s="7" t="s">
        <v>607</v>
      </c>
      <c r="E342" s="2">
        <v>2000</v>
      </c>
      <c r="F342" s="2">
        <v>2000</v>
      </c>
      <c r="G342" s="2">
        <f t="shared" si="8"/>
        <v>0</v>
      </c>
      <c r="H342" s="3">
        <v>45889</v>
      </c>
      <c r="I342" s="2" t="s">
        <v>272</v>
      </c>
    </row>
    <row r="343" spans="1:9" s="2" customFormat="1" x14ac:dyDescent="0.3">
      <c r="A343" s="2" t="s">
        <v>163</v>
      </c>
      <c r="B343" s="2" t="s">
        <v>608</v>
      </c>
      <c r="D343" s="7" t="s">
        <v>125</v>
      </c>
      <c r="G343" s="2">
        <f t="shared" si="8"/>
        <v>0</v>
      </c>
      <c r="H343" s="3">
        <v>45890</v>
      </c>
      <c r="I343" s="2" t="s">
        <v>272</v>
      </c>
    </row>
    <row r="344" spans="1:9" s="2" customFormat="1" ht="28.8" x14ac:dyDescent="0.3">
      <c r="A344" s="2" t="s">
        <v>163</v>
      </c>
      <c r="B344" s="2" t="s">
        <v>9</v>
      </c>
      <c r="D344" s="5" t="s">
        <v>605</v>
      </c>
      <c r="G344" s="2">
        <f t="shared" si="8"/>
        <v>0</v>
      </c>
      <c r="H344" s="3">
        <v>45890</v>
      </c>
      <c r="I344" s="2" t="s">
        <v>273</v>
      </c>
    </row>
    <row r="345" spans="1:9" s="2" customFormat="1" ht="28.8" x14ac:dyDescent="0.3">
      <c r="A345" s="2" t="s">
        <v>534</v>
      </c>
      <c r="B345" s="2" t="s">
        <v>169</v>
      </c>
      <c r="D345" s="5" t="s">
        <v>609</v>
      </c>
      <c r="E345" s="2">
        <v>10000</v>
      </c>
      <c r="F345" s="2">
        <v>0</v>
      </c>
      <c r="G345" s="2">
        <f t="shared" si="8"/>
        <v>10000</v>
      </c>
      <c r="H345" s="3">
        <v>45890</v>
      </c>
      <c r="I345" s="2" t="s">
        <v>273</v>
      </c>
    </row>
    <row r="346" spans="1:9" s="2" customFormat="1" ht="28.8" x14ac:dyDescent="0.3">
      <c r="A346" s="2" t="s">
        <v>206</v>
      </c>
      <c r="B346" s="2" t="s">
        <v>98</v>
      </c>
      <c r="D346" s="5" t="s">
        <v>610</v>
      </c>
      <c r="E346" s="2">
        <v>3000</v>
      </c>
      <c r="F346" s="2">
        <v>0</v>
      </c>
      <c r="G346" s="2">
        <f t="shared" si="8"/>
        <v>3000</v>
      </c>
      <c r="H346" s="3">
        <v>45890</v>
      </c>
      <c r="I346" s="2" t="s">
        <v>272</v>
      </c>
    </row>
    <row r="347" spans="1:9" s="2" customFormat="1" x14ac:dyDescent="0.3">
      <c r="A347" s="2" t="s">
        <v>382</v>
      </c>
      <c r="B347" s="2">
        <v>2521</v>
      </c>
      <c r="D347" s="7" t="s">
        <v>611</v>
      </c>
      <c r="E347" s="2">
        <v>2600</v>
      </c>
      <c r="F347" s="2">
        <v>2600</v>
      </c>
      <c r="G347" s="2">
        <f t="shared" si="8"/>
        <v>0</v>
      </c>
      <c r="H347" s="3">
        <v>45891</v>
      </c>
      <c r="I347" s="2" t="s">
        <v>272</v>
      </c>
    </row>
    <row r="348" spans="1:9" s="2" customFormat="1" x14ac:dyDescent="0.3">
      <c r="A348" s="2" t="s">
        <v>21</v>
      </c>
      <c r="B348" s="2">
        <v>3228</v>
      </c>
      <c r="D348" s="7" t="s">
        <v>612</v>
      </c>
      <c r="E348" s="2">
        <v>5000</v>
      </c>
      <c r="F348" s="2">
        <v>5000</v>
      </c>
      <c r="G348" s="2">
        <f t="shared" si="8"/>
        <v>0</v>
      </c>
      <c r="H348" s="3">
        <v>45891</v>
      </c>
      <c r="I348" s="2" t="s">
        <v>272</v>
      </c>
    </row>
    <row r="349" spans="1:9" s="2" customFormat="1" ht="28.8" x14ac:dyDescent="0.3">
      <c r="A349" s="2" t="s">
        <v>7</v>
      </c>
      <c r="B349" s="2" t="s">
        <v>538</v>
      </c>
      <c r="D349" s="5" t="s">
        <v>613</v>
      </c>
      <c r="E349" s="2">
        <v>5000</v>
      </c>
      <c r="F349" s="2">
        <v>5000</v>
      </c>
      <c r="G349" s="2">
        <f t="shared" si="8"/>
        <v>0</v>
      </c>
      <c r="H349" s="3">
        <v>45892</v>
      </c>
      <c r="I349" s="2" t="s">
        <v>272</v>
      </c>
    </row>
    <row r="350" spans="1:9" s="2" customFormat="1" x14ac:dyDescent="0.3">
      <c r="A350" s="2" t="s">
        <v>100</v>
      </c>
      <c r="B350" s="2" t="s">
        <v>98</v>
      </c>
      <c r="D350" s="7" t="s">
        <v>60</v>
      </c>
      <c r="E350" s="2">
        <v>1500</v>
      </c>
      <c r="F350" s="2">
        <v>1500</v>
      </c>
      <c r="G350" s="2">
        <f t="shared" si="8"/>
        <v>0</v>
      </c>
      <c r="H350" s="3">
        <v>45892</v>
      </c>
      <c r="I350" s="2" t="s">
        <v>272</v>
      </c>
    </row>
    <row r="351" spans="1:9" s="2" customFormat="1" x14ac:dyDescent="0.3">
      <c r="A351" s="2" t="s">
        <v>583</v>
      </c>
      <c r="B351" s="2" t="s">
        <v>72</v>
      </c>
      <c r="D351" s="7" t="s">
        <v>614</v>
      </c>
      <c r="E351" s="2">
        <v>4000</v>
      </c>
      <c r="F351" s="2">
        <v>4000</v>
      </c>
      <c r="G351" s="2">
        <f t="shared" si="8"/>
        <v>0</v>
      </c>
      <c r="H351" s="3">
        <v>45893</v>
      </c>
      <c r="I351" s="2" t="s">
        <v>272</v>
      </c>
    </row>
    <row r="352" spans="1:9" s="2" customFormat="1" x14ac:dyDescent="0.3">
      <c r="A352" s="2" t="s">
        <v>553</v>
      </c>
      <c r="B352" s="2" t="s">
        <v>44</v>
      </c>
      <c r="D352" s="7" t="s">
        <v>615</v>
      </c>
      <c r="G352" s="2">
        <f t="shared" si="8"/>
        <v>0</v>
      </c>
      <c r="H352" s="3">
        <v>45894</v>
      </c>
      <c r="I352" s="2" t="s">
        <v>273</v>
      </c>
    </row>
    <row r="353" spans="1:9" s="2" customFormat="1" ht="28.8" x14ac:dyDescent="0.3">
      <c r="A353" s="2" t="s">
        <v>571</v>
      </c>
      <c r="B353" s="2" t="s">
        <v>30</v>
      </c>
      <c r="D353" s="5" t="s">
        <v>616</v>
      </c>
      <c r="E353" s="2">
        <v>5000</v>
      </c>
      <c r="F353" s="2">
        <v>0</v>
      </c>
      <c r="G353" s="2">
        <f t="shared" si="8"/>
        <v>5000</v>
      </c>
      <c r="H353" s="3">
        <v>45894</v>
      </c>
      <c r="I353" s="2" t="s">
        <v>272</v>
      </c>
    </row>
    <row r="354" spans="1:9" s="2" customFormat="1" x14ac:dyDescent="0.3">
      <c r="A354" s="2" t="s">
        <v>540</v>
      </c>
      <c r="B354" s="2" t="s">
        <v>674</v>
      </c>
      <c r="D354" s="7" t="s">
        <v>675</v>
      </c>
      <c r="E354" s="2">
        <v>5000</v>
      </c>
      <c r="F354" s="2">
        <v>0</v>
      </c>
      <c r="G354" s="2">
        <f>E354-F354</f>
        <v>5000</v>
      </c>
      <c r="H354" s="3">
        <v>45895</v>
      </c>
      <c r="I354" s="2" t="s">
        <v>272</v>
      </c>
    </row>
    <row r="355" spans="1:9" s="2" customFormat="1" x14ac:dyDescent="0.3">
      <c r="A355" s="2" t="s">
        <v>583</v>
      </c>
      <c r="B355" s="2" t="s">
        <v>617</v>
      </c>
      <c r="D355" s="7" t="s">
        <v>618</v>
      </c>
      <c r="E355" s="2">
        <v>2500</v>
      </c>
      <c r="F355" s="2">
        <v>2500</v>
      </c>
      <c r="G355" s="2">
        <f t="shared" si="8"/>
        <v>0</v>
      </c>
      <c r="H355" s="3">
        <v>45895</v>
      </c>
      <c r="I355" s="2" t="s">
        <v>272</v>
      </c>
    </row>
    <row r="356" spans="1:9" s="2" customFormat="1" ht="28.8" x14ac:dyDescent="0.3">
      <c r="A356" s="2" t="s">
        <v>561</v>
      </c>
      <c r="B356" s="2" t="s">
        <v>19</v>
      </c>
      <c r="D356" s="5" t="s">
        <v>619</v>
      </c>
      <c r="E356" s="2">
        <v>2500</v>
      </c>
      <c r="F356" s="2">
        <v>2500</v>
      </c>
      <c r="G356" s="2">
        <f t="shared" si="8"/>
        <v>0</v>
      </c>
      <c r="H356" s="3">
        <v>45895</v>
      </c>
      <c r="I356" s="2" t="s">
        <v>272</v>
      </c>
    </row>
    <row r="357" spans="1:9" s="2" customFormat="1" x14ac:dyDescent="0.3">
      <c r="A357" s="2" t="s">
        <v>234</v>
      </c>
      <c r="B357" s="2" t="s">
        <v>72</v>
      </c>
      <c r="C357" s="2" t="s">
        <v>620</v>
      </c>
      <c r="D357" s="7" t="s">
        <v>557</v>
      </c>
      <c r="E357" s="2">
        <v>5000</v>
      </c>
      <c r="F357" s="2">
        <v>5000</v>
      </c>
      <c r="G357" s="2">
        <f t="shared" si="8"/>
        <v>0</v>
      </c>
      <c r="H357" s="3">
        <v>45896</v>
      </c>
      <c r="I357" s="2" t="s">
        <v>272</v>
      </c>
    </row>
    <row r="358" spans="1:9" s="2" customFormat="1" x14ac:dyDescent="0.3">
      <c r="A358" s="2" t="s">
        <v>21</v>
      </c>
      <c r="B358" s="2" t="s">
        <v>99</v>
      </c>
      <c r="D358" s="7" t="s">
        <v>621</v>
      </c>
      <c r="E358" s="2">
        <v>1500</v>
      </c>
      <c r="F358" s="2">
        <v>0</v>
      </c>
      <c r="G358" s="2">
        <f t="shared" si="8"/>
        <v>1500</v>
      </c>
      <c r="H358" s="3">
        <v>45896</v>
      </c>
      <c r="I358" s="2" t="s">
        <v>272</v>
      </c>
    </row>
    <row r="359" spans="1:9" s="2" customFormat="1" x14ac:dyDescent="0.3">
      <c r="A359" s="2" t="s">
        <v>206</v>
      </c>
      <c r="B359" s="2" t="s">
        <v>98</v>
      </c>
      <c r="D359" s="7" t="s">
        <v>60</v>
      </c>
      <c r="E359" s="2">
        <v>1500</v>
      </c>
      <c r="F359" s="2">
        <v>0</v>
      </c>
      <c r="G359" s="2">
        <f t="shared" si="8"/>
        <v>1500</v>
      </c>
      <c r="H359" s="3">
        <v>45896</v>
      </c>
      <c r="I359" s="2" t="s">
        <v>272</v>
      </c>
    </row>
    <row r="360" spans="1:9" s="2" customFormat="1" ht="28.8" x14ac:dyDescent="0.3">
      <c r="A360" s="2" t="s">
        <v>234</v>
      </c>
      <c r="B360" s="2" t="s">
        <v>261</v>
      </c>
      <c r="C360" s="2" t="s">
        <v>620</v>
      </c>
      <c r="D360" s="5" t="s">
        <v>622</v>
      </c>
      <c r="E360" s="2">
        <v>3500</v>
      </c>
      <c r="F360" s="2">
        <v>3500</v>
      </c>
      <c r="G360" s="2">
        <f t="shared" si="8"/>
        <v>0</v>
      </c>
      <c r="H360" s="3">
        <v>45897</v>
      </c>
      <c r="I360" s="2" t="s">
        <v>272</v>
      </c>
    </row>
    <row r="361" spans="1:9" s="2" customFormat="1" ht="28.8" x14ac:dyDescent="0.3">
      <c r="A361" s="2" t="s">
        <v>438</v>
      </c>
      <c r="B361" s="2" t="s">
        <v>14</v>
      </c>
      <c r="D361" s="5" t="s">
        <v>623</v>
      </c>
      <c r="E361" s="2">
        <v>1050</v>
      </c>
      <c r="F361" s="2">
        <v>1050</v>
      </c>
      <c r="G361" s="2">
        <f t="shared" si="8"/>
        <v>0</v>
      </c>
      <c r="H361" s="3">
        <v>45897</v>
      </c>
      <c r="I361" s="2" t="s">
        <v>272</v>
      </c>
    </row>
    <row r="362" spans="1:9" s="2" customFormat="1" x14ac:dyDescent="0.3">
      <c r="A362" s="2" t="s">
        <v>601</v>
      </c>
      <c r="B362" s="2" t="s">
        <v>602</v>
      </c>
      <c r="D362" s="7" t="s">
        <v>624</v>
      </c>
      <c r="E362" s="2">
        <v>1400</v>
      </c>
      <c r="F362" s="2">
        <v>1400</v>
      </c>
      <c r="G362" s="2">
        <f t="shared" si="8"/>
        <v>0</v>
      </c>
      <c r="H362" s="3">
        <v>45897</v>
      </c>
      <c r="I362" s="2" t="s">
        <v>272</v>
      </c>
    </row>
    <row r="363" spans="1:9" s="2" customFormat="1" ht="43.2" x14ac:dyDescent="0.3">
      <c r="A363" s="2" t="s">
        <v>7</v>
      </c>
      <c r="B363" s="2" t="s">
        <v>9</v>
      </c>
      <c r="D363" s="5" t="s">
        <v>625</v>
      </c>
      <c r="E363" s="2">
        <v>31000</v>
      </c>
      <c r="F363" s="2">
        <v>31000</v>
      </c>
      <c r="G363" s="2">
        <f t="shared" si="8"/>
        <v>0</v>
      </c>
      <c r="H363" s="3">
        <v>45898</v>
      </c>
      <c r="I363" s="2" t="s">
        <v>272</v>
      </c>
    </row>
    <row r="364" spans="1:9" s="2" customFormat="1" x14ac:dyDescent="0.3">
      <c r="A364" s="2" t="s">
        <v>36</v>
      </c>
      <c r="B364" s="2" t="s">
        <v>97</v>
      </c>
      <c r="D364" s="7" t="s">
        <v>548</v>
      </c>
      <c r="E364" s="2">
        <v>400</v>
      </c>
      <c r="F364" s="2">
        <v>400</v>
      </c>
      <c r="G364" s="2">
        <f t="shared" si="8"/>
        <v>0</v>
      </c>
      <c r="H364" s="3">
        <v>45902</v>
      </c>
      <c r="I364" s="2" t="s">
        <v>272</v>
      </c>
    </row>
    <row r="365" spans="1:9" s="2" customFormat="1" x14ac:dyDescent="0.3">
      <c r="A365" s="2" t="s">
        <v>330</v>
      </c>
      <c r="B365" s="2" t="s">
        <v>589</v>
      </c>
      <c r="D365" s="7" t="s">
        <v>626</v>
      </c>
      <c r="E365" s="2">
        <v>3500</v>
      </c>
      <c r="F365" s="2">
        <v>3500</v>
      </c>
      <c r="G365" s="2">
        <f t="shared" si="8"/>
        <v>0</v>
      </c>
      <c r="H365" s="3">
        <v>45902</v>
      </c>
      <c r="I365" s="2" t="s">
        <v>272</v>
      </c>
    </row>
    <row r="366" spans="1:9" s="2" customFormat="1" x14ac:dyDescent="0.3">
      <c r="A366" s="2" t="s">
        <v>305</v>
      </c>
      <c r="B366" s="2" t="s">
        <v>35</v>
      </c>
      <c r="D366" s="7" t="s">
        <v>627</v>
      </c>
      <c r="G366" s="2">
        <f t="shared" si="8"/>
        <v>0</v>
      </c>
      <c r="H366" s="3">
        <v>45903</v>
      </c>
      <c r="I366" s="2" t="s">
        <v>272</v>
      </c>
    </row>
    <row r="367" spans="1:9" s="2" customFormat="1" x14ac:dyDescent="0.3">
      <c r="A367" s="2" t="s">
        <v>56</v>
      </c>
      <c r="B367" s="2" t="s">
        <v>14</v>
      </c>
      <c r="D367" s="7" t="s">
        <v>628</v>
      </c>
      <c r="E367" s="2">
        <v>4000</v>
      </c>
      <c r="F367" s="2">
        <v>4000</v>
      </c>
      <c r="G367" s="2">
        <f t="shared" si="8"/>
        <v>0</v>
      </c>
      <c r="H367" s="3">
        <v>45905</v>
      </c>
      <c r="I367" s="2" t="s">
        <v>272</v>
      </c>
    </row>
    <row r="368" spans="1:9" s="2" customFormat="1" ht="28.8" x14ac:dyDescent="0.3">
      <c r="A368" s="2" t="s">
        <v>433</v>
      </c>
      <c r="B368" s="2" t="s">
        <v>72</v>
      </c>
      <c r="D368" s="5" t="s">
        <v>629</v>
      </c>
      <c r="E368" s="2">
        <v>3500</v>
      </c>
      <c r="F368" s="2">
        <v>3500</v>
      </c>
      <c r="G368" s="2">
        <f t="shared" si="8"/>
        <v>0</v>
      </c>
      <c r="H368" s="3">
        <v>45905</v>
      </c>
      <c r="I368" s="2" t="s">
        <v>272</v>
      </c>
    </row>
    <row r="369" spans="1:9" s="2" customFormat="1" ht="28.8" x14ac:dyDescent="0.3">
      <c r="A369" s="2" t="s">
        <v>36</v>
      </c>
      <c r="B369" s="2" t="s">
        <v>19</v>
      </c>
      <c r="D369" s="5" t="s">
        <v>630</v>
      </c>
      <c r="E369" s="2">
        <v>3000</v>
      </c>
      <c r="F369" s="2">
        <v>0</v>
      </c>
      <c r="G369" s="2">
        <f t="shared" si="8"/>
        <v>3000</v>
      </c>
      <c r="H369" s="3">
        <v>45906</v>
      </c>
      <c r="I369" s="2" t="s">
        <v>272</v>
      </c>
    </row>
    <row r="370" spans="1:9" s="2" customFormat="1" x14ac:dyDescent="0.3">
      <c r="A370" s="2" t="s">
        <v>7</v>
      </c>
      <c r="B370" s="2" t="s">
        <v>9</v>
      </c>
      <c r="D370" s="7" t="s">
        <v>621</v>
      </c>
      <c r="E370" s="2">
        <v>1000</v>
      </c>
      <c r="F370" s="2">
        <v>1000</v>
      </c>
      <c r="G370" s="2">
        <f t="shared" si="8"/>
        <v>0</v>
      </c>
      <c r="H370" s="3">
        <v>45906</v>
      </c>
      <c r="I370" s="2" t="s">
        <v>272</v>
      </c>
    </row>
    <row r="371" spans="1:9" s="2" customFormat="1" ht="28.8" x14ac:dyDescent="0.3">
      <c r="A371" s="2" t="s">
        <v>8</v>
      </c>
      <c r="B371" s="2" t="s">
        <v>44</v>
      </c>
      <c r="C371" s="2" t="s">
        <v>631</v>
      </c>
      <c r="D371" s="5" t="s">
        <v>761</v>
      </c>
      <c r="E371" s="2">
        <v>12500</v>
      </c>
      <c r="F371" s="2">
        <v>0</v>
      </c>
      <c r="G371" s="2">
        <f t="shared" si="8"/>
        <v>12500</v>
      </c>
      <c r="H371" s="3">
        <v>45906</v>
      </c>
      <c r="I371" s="2" t="s">
        <v>272</v>
      </c>
    </row>
    <row r="372" spans="1:9" s="2" customFormat="1" x14ac:dyDescent="0.3">
      <c r="A372" s="2" t="s">
        <v>397</v>
      </c>
      <c r="B372" s="2" t="s">
        <v>207</v>
      </c>
      <c r="D372" s="7" t="s">
        <v>60</v>
      </c>
      <c r="E372" s="2">
        <v>2000</v>
      </c>
      <c r="F372" s="2">
        <v>2000</v>
      </c>
      <c r="G372" s="2">
        <f t="shared" si="8"/>
        <v>0</v>
      </c>
      <c r="H372" s="3">
        <v>45906</v>
      </c>
      <c r="I372" s="2" t="s">
        <v>272</v>
      </c>
    </row>
    <row r="373" spans="1:9" s="2" customFormat="1" x14ac:dyDescent="0.3">
      <c r="A373" s="2" t="s">
        <v>321</v>
      </c>
      <c r="B373" s="2" t="s">
        <v>30</v>
      </c>
      <c r="D373" s="7" t="s">
        <v>632</v>
      </c>
      <c r="E373" s="2">
        <v>5000</v>
      </c>
      <c r="F373" s="2">
        <v>0</v>
      </c>
      <c r="G373" s="2">
        <f t="shared" si="8"/>
        <v>5000</v>
      </c>
      <c r="H373" s="3">
        <v>45906</v>
      </c>
      <c r="I373" s="2" t="s">
        <v>272</v>
      </c>
    </row>
    <row r="374" spans="1:9" s="2" customFormat="1" ht="28.8" x14ac:dyDescent="0.3">
      <c r="A374" s="2" t="s">
        <v>367</v>
      </c>
      <c r="B374" s="2" t="s">
        <v>72</v>
      </c>
      <c r="D374" s="5" t="s">
        <v>633</v>
      </c>
      <c r="E374" s="2">
        <v>6750</v>
      </c>
      <c r="F374" s="2">
        <v>0</v>
      </c>
      <c r="G374" s="2">
        <f t="shared" si="8"/>
        <v>6750</v>
      </c>
      <c r="H374" s="3">
        <v>45907</v>
      </c>
      <c r="I374" s="2" t="s">
        <v>272</v>
      </c>
    </row>
    <row r="375" spans="1:9" s="2" customFormat="1" x14ac:dyDescent="0.3">
      <c r="A375" s="2" t="s">
        <v>321</v>
      </c>
      <c r="B375" s="2" t="s">
        <v>30</v>
      </c>
      <c r="D375" s="7" t="s">
        <v>634</v>
      </c>
      <c r="E375" s="2">
        <v>3500</v>
      </c>
      <c r="F375" s="2">
        <v>0</v>
      </c>
      <c r="G375" s="2">
        <f t="shared" si="8"/>
        <v>3500</v>
      </c>
      <c r="H375" s="3">
        <v>45908</v>
      </c>
      <c r="I375" s="2" t="s">
        <v>272</v>
      </c>
    </row>
    <row r="376" spans="1:9" s="2" customFormat="1" x14ac:dyDescent="0.3">
      <c r="A376" s="2" t="s">
        <v>8</v>
      </c>
      <c r="B376" s="2" t="s">
        <v>44</v>
      </c>
      <c r="D376" s="7" t="s">
        <v>635</v>
      </c>
      <c r="E376" s="2">
        <v>1000</v>
      </c>
      <c r="F376" s="2">
        <v>0</v>
      </c>
      <c r="G376" s="2">
        <f t="shared" si="8"/>
        <v>1000</v>
      </c>
      <c r="H376" s="3">
        <v>45908</v>
      </c>
      <c r="I376" s="2" t="s">
        <v>272</v>
      </c>
    </row>
    <row r="377" spans="1:9" s="2" customFormat="1" x14ac:dyDescent="0.3">
      <c r="A377" s="2" t="s">
        <v>377</v>
      </c>
      <c r="B377" s="2" t="s">
        <v>9</v>
      </c>
      <c r="D377" s="7" t="s">
        <v>636</v>
      </c>
      <c r="E377" s="2">
        <v>1300</v>
      </c>
      <c r="F377" s="2">
        <v>1300</v>
      </c>
      <c r="G377" s="2">
        <f t="shared" si="8"/>
        <v>0</v>
      </c>
      <c r="H377" s="3">
        <v>45908</v>
      </c>
      <c r="I377" s="2" t="s">
        <v>272</v>
      </c>
    </row>
    <row r="378" spans="1:9" s="2" customFormat="1" x14ac:dyDescent="0.3">
      <c r="A378" s="2" t="s">
        <v>368</v>
      </c>
      <c r="B378" s="2" t="s">
        <v>19</v>
      </c>
      <c r="C378" s="2" t="s">
        <v>123</v>
      </c>
      <c r="D378" s="7" t="s">
        <v>637</v>
      </c>
      <c r="E378" s="2">
        <v>500</v>
      </c>
      <c r="F378" s="2">
        <v>0</v>
      </c>
      <c r="G378" s="2">
        <f t="shared" si="8"/>
        <v>500</v>
      </c>
      <c r="H378" s="3">
        <v>45908</v>
      </c>
      <c r="I378" s="2" t="s">
        <v>272</v>
      </c>
    </row>
    <row r="379" spans="1:9" s="2" customFormat="1" x14ac:dyDescent="0.3">
      <c r="A379" s="2" t="s">
        <v>540</v>
      </c>
      <c r="B379" s="2" t="s">
        <v>318</v>
      </c>
      <c r="D379" s="7" t="s">
        <v>595</v>
      </c>
      <c r="E379" s="2">
        <v>2500</v>
      </c>
      <c r="F379" s="2">
        <v>0</v>
      </c>
      <c r="G379" s="2">
        <f t="shared" ref="G379:G399" si="9">E379-F379</f>
        <v>2500</v>
      </c>
      <c r="H379" s="3">
        <v>45908</v>
      </c>
      <c r="I379" s="2" t="s">
        <v>272</v>
      </c>
    </row>
    <row r="380" spans="1:9" s="2" customFormat="1" x14ac:dyDescent="0.3">
      <c r="A380" s="2" t="s">
        <v>100</v>
      </c>
      <c r="B380" s="2" t="s">
        <v>638</v>
      </c>
      <c r="D380" s="7" t="s">
        <v>639</v>
      </c>
      <c r="E380" s="2">
        <v>7500</v>
      </c>
      <c r="F380" s="2">
        <v>7500</v>
      </c>
      <c r="G380" s="2">
        <f t="shared" si="9"/>
        <v>0</v>
      </c>
      <c r="H380" s="3">
        <v>45909</v>
      </c>
      <c r="I380" s="2" t="s">
        <v>272</v>
      </c>
    </row>
    <row r="381" spans="1:9" s="2" customFormat="1" x14ac:dyDescent="0.3">
      <c r="A381" s="2" t="s">
        <v>368</v>
      </c>
      <c r="B381" s="2" t="s">
        <v>19</v>
      </c>
      <c r="D381" s="7" t="s">
        <v>640</v>
      </c>
      <c r="E381" s="2">
        <v>500</v>
      </c>
      <c r="F381" s="2">
        <v>0</v>
      </c>
      <c r="G381" s="2">
        <f t="shared" si="9"/>
        <v>500</v>
      </c>
      <c r="H381" s="3">
        <v>45910</v>
      </c>
      <c r="I381" s="2" t="s">
        <v>272</v>
      </c>
    </row>
    <row r="382" spans="1:9" s="2" customFormat="1" x14ac:dyDescent="0.3">
      <c r="A382" s="2" t="s">
        <v>31</v>
      </c>
      <c r="B382" s="2" t="s">
        <v>72</v>
      </c>
      <c r="D382" s="7" t="s">
        <v>641</v>
      </c>
      <c r="E382" s="2">
        <v>1500</v>
      </c>
      <c r="F382" s="2">
        <v>1500</v>
      </c>
      <c r="G382" s="2">
        <f t="shared" si="9"/>
        <v>0</v>
      </c>
      <c r="H382" s="3">
        <v>45910</v>
      </c>
      <c r="I382" s="2" t="s">
        <v>272</v>
      </c>
    </row>
    <row r="383" spans="1:9" s="2" customFormat="1" x14ac:dyDescent="0.3">
      <c r="A383" s="2" t="s">
        <v>57</v>
      </c>
      <c r="B383" s="2" t="s">
        <v>59</v>
      </c>
      <c r="D383" s="7" t="s">
        <v>642</v>
      </c>
      <c r="E383" s="2">
        <v>16500</v>
      </c>
      <c r="F383" s="2">
        <v>16500</v>
      </c>
      <c r="G383" s="2">
        <f t="shared" si="9"/>
        <v>0</v>
      </c>
      <c r="H383" s="3">
        <v>45910</v>
      </c>
      <c r="I383" s="2" t="s">
        <v>272</v>
      </c>
    </row>
    <row r="384" spans="1:9" s="2" customFormat="1" x14ac:dyDescent="0.3">
      <c r="A384" s="2" t="s">
        <v>643</v>
      </c>
      <c r="B384" s="2" t="s">
        <v>59</v>
      </c>
      <c r="D384" s="7" t="s">
        <v>644</v>
      </c>
      <c r="E384" s="2">
        <v>60000</v>
      </c>
      <c r="F384" s="2">
        <v>60000</v>
      </c>
      <c r="G384" s="2">
        <f t="shared" si="9"/>
        <v>0</v>
      </c>
      <c r="H384" s="3">
        <v>45911</v>
      </c>
      <c r="I384" s="2" t="s">
        <v>273</v>
      </c>
    </row>
    <row r="385" spans="1:9" s="2" customFormat="1" x14ac:dyDescent="0.3">
      <c r="A385" s="2" t="s">
        <v>645</v>
      </c>
      <c r="B385" s="2" t="s">
        <v>99</v>
      </c>
      <c r="D385" s="7" t="s">
        <v>197</v>
      </c>
      <c r="E385" s="2">
        <v>5000</v>
      </c>
      <c r="F385" s="2">
        <v>5000</v>
      </c>
      <c r="G385" s="2">
        <f t="shared" si="9"/>
        <v>0</v>
      </c>
      <c r="H385" s="3">
        <v>45911</v>
      </c>
      <c r="I385" s="2" t="s">
        <v>272</v>
      </c>
    </row>
    <row r="386" spans="1:9" s="2" customFormat="1" x14ac:dyDescent="0.3">
      <c r="A386" s="2" t="s">
        <v>583</v>
      </c>
      <c r="B386" s="2" t="s">
        <v>72</v>
      </c>
      <c r="D386" s="7" t="s">
        <v>646</v>
      </c>
      <c r="E386" s="2">
        <v>1500</v>
      </c>
      <c r="F386" s="2">
        <v>1500</v>
      </c>
      <c r="G386" s="2">
        <f t="shared" si="9"/>
        <v>0</v>
      </c>
      <c r="H386" s="3">
        <v>45912</v>
      </c>
      <c r="I386" s="2" t="s">
        <v>272</v>
      </c>
    </row>
    <row r="387" spans="1:9" s="2" customFormat="1" x14ac:dyDescent="0.3">
      <c r="A387" s="2" t="s">
        <v>645</v>
      </c>
      <c r="B387" s="2" t="s">
        <v>99</v>
      </c>
      <c r="D387" s="7" t="s">
        <v>647</v>
      </c>
      <c r="E387" s="2">
        <v>1000</v>
      </c>
      <c r="F387" s="2">
        <v>1000</v>
      </c>
      <c r="G387" s="2">
        <f t="shared" si="9"/>
        <v>0</v>
      </c>
      <c r="H387" s="3">
        <v>45913</v>
      </c>
      <c r="I387" s="2" t="s">
        <v>272</v>
      </c>
    </row>
    <row r="388" spans="1:9" s="2" customFormat="1" ht="28.8" x14ac:dyDescent="0.3">
      <c r="A388" s="2" t="s">
        <v>341</v>
      </c>
      <c r="B388" s="2" t="s">
        <v>648</v>
      </c>
      <c r="D388" s="5" t="s">
        <v>649</v>
      </c>
      <c r="E388" s="2">
        <v>2350</v>
      </c>
      <c r="F388" s="2">
        <v>2350</v>
      </c>
      <c r="G388" s="2">
        <f t="shared" si="9"/>
        <v>0</v>
      </c>
      <c r="H388" s="3">
        <v>45913</v>
      </c>
      <c r="I388" s="2" t="s">
        <v>273</v>
      </c>
    </row>
    <row r="389" spans="1:9" s="2" customFormat="1" x14ac:dyDescent="0.3">
      <c r="A389" s="2" t="s">
        <v>36</v>
      </c>
      <c r="B389" s="2" t="s">
        <v>650</v>
      </c>
      <c r="D389" s="7" t="s">
        <v>651</v>
      </c>
      <c r="E389" s="2">
        <v>2500</v>
      </c>
      <c r="F389" s="2">
        <v>0</v>
      </c>
      <c r="G389" s="2">
        <f t="shared" si="9"/>
        <v>2500</v>
      </c>
      <c r="H389" s="3">
        <v>45913</v>
      </c>
      <c r="I389" s="2" t="s">
        <v>272</v>
      </c>
    </row>
    <row r="390" spans="1:9" s="2" customFormat="1" ht="28.8" x14ac:dyDescent="0.3">
      <c r="A390" s="2" t="s">
        <v>652</v>
      </c>
      <c r="B390" s="2">
        <v>950</v>
      </c>
      <c r="D390" s="5" t="s">
        <v>653</v>
      </c>
      <c r="E390" s="2">
        <v>3500</v>
      </c>
      <c r="F390" s="2">
        <v>0</v>
      </c>
      <c r="G390" s="2">
        <f t="shared" si="9"/>
        <v>3500</v>
      </c>
      <c r="H390" s="3">
        <v>45915</v>
      </c>
      <c r="I390" s="2" t="s">
        <v>272</v>
      </c>
    </row>
    <row r="391" spans="1:9" s="2" customFormat="1" ht="43.2" x14ac:dyDescent="0.3">
      <c r="A391" s="2" t="s">
        <v>228</v>
      </c>
      <c r="B391" s="2" t="s">
        <v>72</v>
      </c>
      <c r="D391" s="5" t="s">
        <v>654</v>
      </c>
      <c r="E391" s="2">
        <v>1500</v>
      </c>
      <c r="F391" s="2">
        <v>1500</v>
      </c>
      <c r="G391" s="2">
        <f t="shared" si="9"/>
        <v>0</v>
      </c>
      <c r="H391" s="3">
        <v>45915</v>
      </c>
      <c r="I391" s="2" t="s">
        <v>272</v>
      </c>
    </row>
    <row r="392" spans="1:9" s="2" customFormat="1" x14ac:dyDescent="0.3">
      <c r="A392" s="2" t="s">
        <v>100</v>
      </c>
      <c r="B392" s="2" t="s">
        <v>606</v>
      </c>
      <c r="C392" s="2" t="s">
        <v>656</v>
      </c>
      <c r="D392" s="7" t="s">
        <v>655</v>
      </c>
      <c r="E392" s="2">
        <v>2000</v>
      </c>
      <c r="F392" s="2">
        <v>2000</v>
      </c>
      <c r="G392" s="2">
        <f t="shared" si="9"/>
        <v>0</v>
      </c>
      <c r="H392" s="3">
        <v>45916</v>
      </c>
    </row>
    <row r="393" spans="1:9" s="2" customFormat="1" ht="57.6" x14ac:dyDescent="0.3">
      <c r="A393" s="2" t="s">
        <v>163</v>
      </c>
      <c r="B393" s="2" t="s">
        <v>9</v>
      </c>
      <c r="D393" s="5" t="s">
        <v>657</v>
      </c>
      <c r="E393" s="2">
        <v>10500</v>
      </c>
      <c r="F393" s="2">
        <v>0</v>
      </c>
      <c r="G393" s="2">
        <f t="shared" si="9"/>
        <v>10500</v>
      </c>
      <c r="H393" s="3">
        <v>45916</v>
      </c>
      <c r="I393" s="2" t="s">
        <v>272</v>
      </c>
    </row>
    <row r="394" spans="1:9" s="2" customFormat="1" x14ac:dyDescent="0.3">
      <c r="A394" s="2" t="s">
        <v>255</v>
      </c>
      <c r="B394" s="2" t="s">
        <v>72</v>
      </c>
      <c r="D394" s="7" t="s">
        <v>658</v>
      </c>
      <c r="E394" s="2">
        <v>2000</v>
      </c>
      <c r="F394" s="2">
        <v>0</v>
      </c>
      <c r="G394" s="2">
        <f t="shared" si="9"/>
        <v>2000</v>
      </c>
      <c r="H394" s="3">
        <v>45916</v>
      </c>
      <c r="I394" s="2" t="s">
        <v>272</v>
      </c>
    </row>
    <row r="395" spans="1:9" s="2" customFormat="1" x14ac:dyDescent="0.3">
      <c r="A395" s="2" t="s">
        <v>21</v>
      </c>
      <c r="B395" s="2" t="s">
        <v>659</v>
      </c>
      <c r="C395" s="2" t="s">
        <v>22</v>
      </c>
      <c r="D395" s="7" t="s">
        <v>660</v>
      </c>
      <c r="E395" s="2">
        <v>2500</v>
      </c>
      <c r="F395" s="2">
        <v>2500</v>
      </c>
      <c r="G395" s="2">
        <f t="shared" si="9"/>
        <v>0</v>
      </c>
      <c r="H395" s="3">
        <v>45916</v>
      </c>
      <c r="I395" s="2" t="s">
        <v>272</v>
      </c>
    </row>
    <row r="396" spans="1:9" s="2" customFormat="1" x14ac:dyDescent="0.3">
      <c r="A396" s="2" t="s">
        <v>7</v>
      </c>
      <c r="B396" s="2" t="s">
        <v>9</v>
      </c>
      <c r="D396" s="7" t="s">
        <v>661</v>
      </c>
      <c r="E396" s="2">
        <v>1750</v>
      </c>
      <c r="F396" s="2">
        <v>1750</v>
      </c>
      <c r="G396" s="2">
        <f t="shared" si="9"/>
        <v>0</v>
      </c>
      <c r="H396" s="3">
        <v>45916</v>
      </c>
      <c r="I396" s="2" t="s">
        <v>272</v>
      </c>
    </row>
    <row r="397" spans="1:9" s="2" customFormat="1" x14ac:dyDescent="0.3">
      <c r="A397" s="2" t="s">
        <v>47</v>
      </c>
      <c r="B397" s="2" t="s">
        <v>30</v>
      </c>
      <c r="C397" s="2" t="s">
        <v>249</v>
      </c>
      <c r="D397" s="7" t="s">
        <v>662</v>
      </c>
      <c r="E397" s="2">
        <v>1000</v>
      </c>
      <c r="F397" s="2">
        <v>0</v>
      </c>
      <c r="G397" s="2">
        <f t="shared" si="9"/>
        <v>1000</v>
      </c>
      <c r="H397" s="3">
        <v>45917</v>
      </c>
      <c r="I397" s="2" t="s">
        <v>272</v>
      </c>
    </row>
    <row r="398" spans="1:9" s="2" customFormat="1" ht="28.8" x14ac:dyDescent="0.3">
      <c r="A398" s="2" t="s">
        <v>21</v>
      </c>
      <c r="B398" s="2" t="s">
        <v>30</v>
      </c>
      <c r="C398" s="2" t="s">
        <v>68</v>
      </c>
      <c r="D398" s="5" t="s">
        <v>663</v>
      </c>
      <c r="E398" s="2">
        <v>21000</v>
      </c>
      <c r="F398" s="2">
        <v>0</v>
      </c>
      <c r="G398" s="2">
        <f t="shared" si="9"/>
        <v>21000</v>
      </c>
      <c r="H398" s="3">
        <v>45918</v>
      </c>
      <c r="I398" s="2" t="s">
        <v>272</v>
      </c>
    </row>
    <row r="399" spans="1:9" s="2" customFormat="1" ht="28.8" x14ac:dyDescent="0.3">
      <c r="A399" s="2" t="s">
        <v>664</v>
      </c>
      <c r="B399" s="2" t="s">
        <v>98</v>
      </c>
      <c r="D399" s="5" t="s">
        <v>665</v>
      </c>
      <c r="E399" s="2">
        <v>90000</v>
      </c>
      <c r="F399" s="2">
        <v>90000</v>
      </c>
      <c r="G399" s="2">
        <f t="shared" si="9"/>
        <v>0</v>
      </c>
      <c r="H399" s="3">
        <v>45918</v>
      </c>
      <c r="I399" s="2" t="s">
        <v>273</v>
      </c>
    </row>
    <row r="400" spans="1:9" s="2" customFormat="1" x14ac:dyDescent="0.3">
      <c r="A400" s="2" t="s">
        <v>21</v>
      </c>
      <c r="B400" s="2" t="s">
        <v>30</v>
      </c>
      <c r="C400" s="2" t="s">
        <v>68</v>
      </c>
      <c r="D400" s="7" t="s">
        <v>666</v>
      </c>
      <c r="E400" s="2">
        <v>1000</v>
      </c>
      <c r="F400" s="2">
        <v>0</v>
      </c>
      <c r="G400" s="2">
        <f t="shared" ref="G400:G431" si="10">E400-F400</f>
        <v>1000</v>
      </c>
      <c r="H400" s="3">
        <v>45919</v>
      </c>
      <c r="I400" s="2" t="s">
        <v>272</v>
      </c>
    </row>
    <row r="401" spans="1:9" s="2" customFormat="1" x14ac:dyDescent="0.3">
      <c r="A401" s="2" t="s">
        <v>540</v>
      </c>
      <c r="B401" s="2" t="s">
        <v>318</v>
      </c>
      <c r="D401" s="7" t="s">
        <v>667</v>
      </c>
      <c r="E401" s="2">
        <v>2500</v>
      </c>
      <c r="F401" s="2">
        <v>0</v>
      </c>
      <c r="G401" s="2">
        <f t="shared" si="10"/>
        <v>2500</v>
      </c>
      <c r="H401" s="3">
        <v>45919</v>
      </c>
      <c r="I401" s="2" t="s">
        <v>272</v>
      </c>
    </row>
    <row r="402" spans="1:9" s="2" customFormat="1" ht="28.8" x14ac:dyDescent="0.3">
      <c r="A402" s="2" t="s">
        <v>163</v>
      </c>
      <c r="B402" s="2" t="s">
        <v>19</v>
      </c>
      <c r="D402" s="5" t="s">
        <v>668</v>
      </c>
      <c r="E402" s="2">
        <v>3000</v>
      </c>
      <c r="F402" s="2">
        <v>0</v>
      </c>
      <c r="G402" s="2">
        <f t="shared" si="10"/>
        <v>3000</v>
      </c>
      <c r="H402" s="3">
        <v>45919</v>
      </c>
      <c r="I402" s="2" t="s">
        <v>272</v>
      </c>
    </row>
    <row r="403" spans="1:9" s="2" customFormat="1" x14ac:dyDescent="0.3">
      <c r="A403" s="2" t="s">
        <v>574</v>
      </c>
      <c r="B403" s="2" t="s">
        <v>30</v>
      </c>
      <c r="D403" s="7" t="s">
        <v>669</v>
      </c>
      <c r="E403" s="2">
        <v>1500</v>
      </c>
      <c r="F403" s="2">
        <v>1500</v>
      </c>
      <c r="G403" s="2">
        <f t="shared" si="10"/>
        <v>0</v>
      </c>
      <c r="H403" s="3">
        <v>45920</v>
      </c>
      <c r="I403" s="2" t="s">
        <v>272</v>
      </c>
    </row>
    <row r="404" spans="1:9" s="2" customFormat="1" x14ac:dyDescent="0.3">
      <c r="A404" s="2" t="s">
        <v>305</v>
      </c>
      <c r="B404" s="2" t="s">
        <v>35</v>
      </c>
      <c r="D404" s="7" t="s">
        <v>419</v>
      </c>
      <c r="E404" s="2">
        <v>2500</v>
      </c>
      <c r="F404" s="2">
        <v>0</v>
      </c>
      <c r="G404" s="2">
        <f t="shared" si="10"/>
        <v>2500</v>
      </c>
      <c r="H404" s="3">
        <v>45920</v>
      </c>
      <c r="I404" s="2" t="s">
        <v>272</v>
      </c>
    </row>
    <row r="405" spans="1:9" s="2" customFormat="1" ht="43.2" x14ac:dyDescent="0.3">
      <c r="A405" s="2" t="s">
        <v>583</v>
      </c>
      <c r="B405" s="2" t="s">
        <v>72</v>
      </c>
      <c r="D405" s="5" t="s">
        <v>670</v>
      </c>
      <c r="E405" s="2">
        <v>3500</v>
      </c>
      <c r="F405" s="2">
        <v>3500</v>
      </c>
      <c r="G405" s="2">
        <f t="shared" si="10"/>
        <v>0</v>
      </c>
      <c r="H405" s="3">
        <v>45920</v>
      </c>
      <c r="I405" s="2" t="s">
        <v>272</v>
      </c>
    </row>
    <row r="406" spans="1:9" s="2" customFormat="1" x14ac:dyDescent="0.3">
      <c r="A406" s="2" t="s">
        <v>321</v>
      </c>
      <c r="B406" s="2" t="s">
        <v>30</v>
      </c>
      <c r="D406" s="7" t="s">
        <v>521</v>
      </c>
      <c r="E406" s="2">
        <v>4000</v>
      </c>
      <c r="F406" s="2">
        <v>0</v>
      </c>
      <c r="G406" s="2">
        <f t="shared" si="10"/>
        <v>4000</v>
      </c>
      <c r="H406" s="3">
        <v>45920</v>
      </c>
      <c r="I406" s="2" t="s">
        <v>272</v>
      </c>
    </row>
    <row r="407" spans="1:9" s="2" customFormat="1" x14ac:dyDescent="0.3">
      <c r="A407" s="2" t="s">
        <v>671</v>
      </c>
      <c r="B407" s="2" t="s">
        <v>97</v>
      </c>
      <c r="D407" s="7" t="s">
        <v>672</v>
      </c>
      <c r="E407" s="2">
        <v>2000</v>
      </c>
      <c r="F407" s="2">
        <v>0</v>
      </c>
      <c r="G407" s="2">
        <f t="shared" si="10"/>
        <v>2000</v>
      </c>
      <c r="H407" s="3">
        <v>45920</v>
      </c>
      <c r="I407" s="2" t="s">
        <v>272</v>
      </c>
    </row>
    <row r="408" spans="1:9" s="2" customFormat="1" x14ac:dyDescent="0.3">
      <c r="A408" s="2" t="s">
        <v>540</v>
      </c>
      <c r="B408" s="2" t="s">
        <v>318</v>
      </c>
      <c r="D408" s="7" t="s">
        <v>612</v>
      </c>
      <c r="E408" s="2">
        <v>2500</v>
      </c>
      <c r="F408" s="2">
        <v>0</v>
      </c>
      <c r="G408" s="2">
        <f t="shared" si="10"/>
        <v>2500</v>
      </c>
      <c r="H408" s="3">
        <v>45922</v>
      </c>
      <c r="I408" s="2" t="s">
        <v>272</v>
      </c>
    </row>
    <row r="409" spans="1:9" s="2" customFormat="1" ht="43.2" x14ac:dyDescent="0.3">
      <c r="A409" s="2" t="s">
        <v>540</v>
      </c>
      <c r="B409" s="2" t="s">
        <v>318</v>
      </c>
      <c r="D409" s="5" t="s">
        <v>673</v>
      </c>
      <c r="E409" s="2">
        <v>2500</v>
      </c>
      <c r="F409" s="2">
        <v>0</v>
      </c>
      <c r="G409" s="2">
        <f t="shared" si="10"/>
        <v>2500</v>
      </c>
      <c r="H409" s="3">
        <v>45923</v>
      </c>
      <c r="I409" s="2" t="s">
        <v>272</v>
      </c>
    </row>
    <row r="410" spans="1:9" s="2" customFormat="1" x14ac:dyDescent="0.3">
      <c r="A410" s="2" t="s">
        <v>676</v>
      </c>
      <c r="B410" s="2" t="s">
        <v>17</v>
      </c>
      <c r="D410" s="7" t="s">
        <v>18</v>
      </c>
      <c r="G410" s="2">
        <f t="shared" si="10"/>
        <v>0</v>
      </c>
      <c r="H410" s="3">
        <v>45924</v>
      </c>
      <c r="I410" s="2" t="s">
        <v>272</v>
      </c>
    </row>
    <row r="411" spans="1:9" s="2" customFormat="1" x14ac:dyDescent="0.3">
      <c r="A411" s="2" t="s">
        <v>146</v>
      </c>
      <c r="B411" s="2" t="s">
        <v>677</v>
      </c>
      <c r="D411" s="7" t="s">
        <v>678</v>
      </c>
      <c r="G411" s="2">
        <f t="shared" si="10"/>
        <v>0</v>
      </c>
      <c r="H411" s="3">
        <v>45925</v>
      </c>
      <c r="I411" s="2" t="s">
        <v>272</v>
      </c>
    </row>
    <row r="412" spans="1:9" s="2" customFormat="1" x14ac:dyDescent="0.3">
      <c r="A412" s="2" t="s">
        <v>234</v>
      </c>
      <c r="B412" s="2" t="s">
        <v>9</v>
      </c>
      <c r="C412" s="2" t="s">
        <v>552</v>
      </c>
      <c r="D412" s="7" t="s">
        <v>679</v>
      </c>
      <c r="E412" s="2">
        <v>1000</v>
      </c>
      <c r="F412" s="2">
        <v>1000</v>
      </c>
      <c r="G412" s="2">
        <f t="shared" si="10"/>
        <v>0</v>
      </c>
      <c r="H412" s="3">
        <v>45927</v>
      </c>
      <c r="I412" s="2" t="s">
        <v>272</v>
      </c>
    </row>
    <row r="413" spans="1:9" s="2" customFormat="1" x14ac:dyDescent="0.3">
      <c r="A413" s="2" t="s">
        <v>645</v>
      </c>
      <c r="B413" s="2" t="s">
        <v>99</v>
      </c>
      <c r="D413" s="7" t="s">
        <v>680</v>
      </c>
      <c r="E413" s="2">
        <v>1500</v>
      </c>
      <c r="F413" s="2">
        <v>1500</v>
      </c>
      <c r="G413" s="2">
        <f t="shared" si="10"/>
        <v>0</v>
      </c>
      <c r="H413" s="3">
        <v>45927</v>
      </c>
      <c r="I413" s="2" t="s">
        <v>272</v>
      </c>
    </row>
    <row r="414" spans="1:9" s="2" customFormat="1" x14ac:dyDescent="0.3">
      <c r="A414" s="2" t="s">
        <v>21</v>
      </c>
      <c r="B414" s="2" t="s">
        <v>19</v>
      </c>
      <c r="C414" s="2" t="s">
        <v>349</v>
      </c>
      <c r="D414" s="7" t="s">
        <v>681</v>
      </c>
      <c r="E414" s="2">
        <v>1500</v>
      </c>
      <c r="F414" s="2">
        <v>0</v>
      </c>
      <c r="G414" s="2">
        <f t="shared" si="10"/>
        <v>1500</v>
      </c>
      <c r="H414" s="3">
        <v>45927</v>
      </c>
      <c r="I414" s="2" t="s">
        <v>272</v>
      </c>
    </row>
    <row r="415" spans="1:9" s="2" customFormat="1" ht="28.8" x14ac:dyDescent="0.3">
      <c r="A415" s="2" t="s">
        <v>100</v>
      </c>
      <c r="B415" s="2" t="s">
        <v>638</v>
      </c>
      <c r="D415" s="5" t="s">
        <v>682</v>
      </c>
      <c r="E415" s="2">
        <v>8000</v>
      </c>
      <c r="F415" s="2">
        <v>8000</v>
      </c>
      <c r="G415" s="2">
        <f t="shared" si="10"/>
        <v>0</v>
      </c>
      <c r="H415" s="3">
        <v>45927</v>
      </c>
      <c r="I415" s="2" t="s">
        <v>273</v>
      </c>
    </row>
    <row r="416" spans="1:9" s="2" customFormat="1" ht="28.8" x14ac:dyDescent="0.3">
      <c r="A416" s="2" t="s">
        <v>321</v>
      </c>
      <c r="B416" s="2" t="s">
        <v>30</v>
      </c>
      <c r="D416" s="5" t="s">
        <v>683</v>
      </c>
      <c r="E416" s="2">
        <v>3000</v>
      </c>
      <c r="F416" s="2">
        <v>3000</v>
      </c>
      <c r="G416" s="2">
        <f t="shared" si="10"/>
        <v>0</v>
      </c>
      <c r="H416" s="3">
        <v>45929</v>
      </c>
      <c r="I416" s="2" t="s">
        <v>272</v>
      </c>
    </row>
    <row r="417" spans="1:9" s="2" customFormat="1" x14ac:dyDescent="0.3">
      <c r="A417" s="2" t="s">
        <v>21</v>
      </c>
      <c r="B417" s="2" t="s">
        <v>19</v>
      </c>
      <c r="C417" s="2" t="s">
        <v>202</v>
      </c>
      <c r="D417" s="7" t="s">
        <v>684</v>
      </c>
      <c r="E417" s="2">
        <v>2500</v>
      </c>
      <c r="F417" s="2">
        <v>0</v>
      </c>
      <c r="G417" s="2">
        <f t="shared" si="10"/>
        <v>2500</v>
      </c>
      <c r="H417" s="3">
        <v>45931</v>
      </c>
      <c r="I417" s="2" t="s">
        <v>272</v>
      </c>
    </row>
    <row r="418" spans="1:9" s="2" customFormat="1" ht="28.8" x14ac:dyDescent="0.3">
      <c r="A418" s="2" t="s">
        <v>221</v>
      </c>
      <c r="B418" s="2" t="s">
        <v>223</v>
      </c>
      <c r="C418" s="2" t="s">
        <v>352</v>
      </c>
      <c r="D418" s="5" t="s">
        <v>685</v>
      </c>
      <c r="G418" s="2">
        <f t="shared" si="10"/>
        <v>0</v>
      </c>
      <c r="H418" s="3">
        <v>45931</v>
      </c>
      <c r="I418" s="2" t="s">
        <v>272</v>
      </c>
    </row>
    <row r="419" spans="1:9" s="2" customFormat="1" x14ac:dyDescent="0.3">
      <c r="A419" s="2" t="s">
        <v>234</v>
      </c>
      <c r="B419" s="2" t="s">
        <v>9</v>
      </c>
      <c r="C419" s="2" t="s">
        <v>552</v>
      </c>
      <c r="D419" s="7" t="s">
        <v>686</v>
      </c>
      <c r="G419" s="2">
        <f t="shared" si="10"/>
        <v>0</v>
      </c>
      <c r="H419" s="3">
        <v>45931</v>
      </c>
      <c r="I419" s="2" t="s">
        <v>272</v>
      </c>
    </row>
    <row r="420" spans="1:9" s="2" customFormat="1" x14ac:dyDescent="0.3">
      <c r="A420" s="2" t="s">
        <v>687</v>
      </c>
      <c r="B420" s="2" t="s">
        <v>99</v>
      </c>
      <c r="D420" s="7" t="s">
        <v>688</v>
      </c>
      <c r="E420" s="2">
        <v>800</v>
      </c>
      <c r="F420" s="2">
        <v>800</v>
      </c>
      <c r="G420" s="2">
        <f t="shared" si="10"/>
        <v>0</v>
      </c>
      <c r="H420" s="3">
        <v>45931</v>
      </c>
      <c r="I420" s="2" t="s">
        <v>272</v>
      </c>
    </row>
    <row r="421" spans="1:9" s="2" customFormat="1" ht="43.2" x14ac:dyDescent="0.3">
      <c r="A421" s="2" t="s">
        <v>368</v>
      </c>
      <c r="B421" s="2" t="s">
        <v>30</v>
      </c>
      <c r="C421" s="2" t="s">
        <v>249</v>
      </c>
      <c r="D421" s="5" t="s">
        <v>762</v>
      </c>
      <c r="E421" s="2">
        <v>7000</v>
      </c>
      <c r="F421" s="2">
        <v>0</v>
      </c>
      <c r="G421" s="2">
        <f t="shared" si="10"/>
        <v>7000</v>
      </c>
      <c r="H421" s="3">
        <v>45932</v>
      </c>
      <c r="I421" s="2" t="s">
        <v>272</v>
      </c>
    </row>
    <row r="422" spans="1:9" s="2" customFormat="1" x14ac:dyDescent="0.3">
      <c r="A422" s="2" t="s">
        <v>120</v>
      </c>
      <c r="B422" s="2" t="s">
        <v>30</v>
      </c>
      <c r="C422" s="2" t="s">
        <v>278</v>
      </c>
      <c r="D422" s="7" t="s">
        <v>60</v>
      </c>
      <c r="E422" s="2">
        <v>2000</v>
      </c>
      <c r="F422" s="2">
        <v>0</v>
      </c>
      <c r="G422" s="2">
        <f t="shared" si="10"/>
        <v>2000</v>
      </c>
      <c r="H422" s="3">
        <v>45932</v>
      </c>
      <c r="I422" s="2" t="s">
        <v>272</v>
      </c>
    </row>
    <row r="423" spans="1:9" ht="57.6" x14ac:dyDescent="0.3">
      <c r="A423" s="2" t="s">
        <v>90</v>
      </c>
      <c r="B423" s="2" t="s">
        <v>17</v>
      </c>
      <c r="D423" s="5" t="s">
        <v>689</v>
      </c>
      <c r="G423" s="2">
        <f t="shared" si="10"/>
        <v>0</v>
      </c>
      <c r="H423" s="2"/>
      <c r="I423" s="2" t="s">
        <v>272</v>
      </c>
    </row>
    <row r="424" spans="1:9" x14ac:dyDescent="0.3">
      <c r="A424" s="2" t="s">
        <v>690</v>
      </c>
      <c r="B424" s="2" t="s">
        <v>329</v>
      </c>
      <c r="D424" s="7" t="s">
        <v>691</v>
      </c>
      <c r="E424" s="2">
        <v>35000</v>
      </c>
      <c r="G424" s="2">
        <f t="shared" si="10"/>
        <v>35000</v>
      </c>
      <c r="H424" s="3">
        <v>45932</v>
      </c>
      <c r="I424" s="2" t="s">
        <v>272</v>
      </c>
    </row>
    <row r="425" spans="1:9" x14ac:dyDescent="0.3">
      <c r="A425" s="2" t="s">
        <v>21</v>
      </c>
      <c r="B425" s="2" t="s">
        <v>30</v>
      </c>
      <c r="C425" s="2" t="s">
        <v>68</v>
      </c>
      <c r="D425" s="7" t="s">
        <v>686</v>
      </c>
      <c r="E425" s="2">
        <v>10000</v>
      </c>
      <c r="F425" s="2">
        <v>0</v>
      </c>
      <c r="G425" s="2">
        <f t="shared" si="10"/>
        <v>10000</v>
      </c>
      <c r="H425" s="3">
        <v>45933</v>
      </c>
      <c r="I425" s="2" t="s">
        <v>272</v>
      </c>
    </row>
    <row r="426" spans="1:9" x14ac:dyDescent="0.3">
      <c r="A426" s="2" t="s">
        <v>206</v>
      </c>
      <c r="B426" s="2" t="s">
        <v>98</v>
      </c>
      <c r="D426" s="7" t="s">
        <v>692</v>
      </c>
      <c r="G426" s="2">
        <f t="shared" si="10"/>
        <v>0</v>
      </c>
      <c r="H426" s="3">
        <v>45933</v>
      </c>
      <c r="I426" s="2" t="s">
        <v>272</v>
      </c>
    </row>
    <row r="427" spans="1:9" ht="28.8" x14ac:dyDescent="0.3">
      <c r="A427" s="2" t="s">
        <v>90</v>
      </c>
      <c r="B427" s="2" t="s">
        <v>72</v>
      </c>
      <c r="D427" s="5" t="s">
        <v>693</v>
      </c>
      <c r="G427" s="2">
        <f t="shared" si="10"/>
        <v>0</v>
      </c>
      <c r="H427" s="3">
        <v>45933</v>
      </c>
      <c r="I427" s="2" t="s">
        <v>272</v>
      </c>
    </row>
    <row r="428" spans="1:9" ht="28.8" x14ac:dyDescent="0.3">
      <c r="A428" s="2" t="s">
        <v>20</v>
      </c>
      <c r="B428" s="2" t="s">
        <v>51</v>
      </c>
      <c r="D428" s="5" t="s">
        <v>694</v>
      </c>
      <c r="E428" s="2">
        <v>2000</v>
      </c>
      <c r="F428" s="2">
        <v>0</v>
      </c>
      <c r="G428" s="2">
        <f t="shared" si="10"/>
        <v>2000</v>
      </c>
      <c r="H428" s="3">
        <v>45933</v>
      </c>
      <c r="I428" s="2" t="s">
        <v>272</v>
      </c>
    </row>
    <row r="429" spans="1:9" x14ac:dyDescent="0.3">
      <c r="A429" s="2" t="s">
        <v>21</v>
      </c>
      <c r="B429" s="2" t="s">
        <v>19</v>
      </c>
      <c r="C429" s="2" t="s">
        <v>202</v>
      </c>
      <c r="D429" s="7" t="s">
        <v>118</v>
      </c>
      <c r="E429" s="2">
        <v>15000</v>
      </c>
      <c r="F429" s="2">
        <v>0</v>
      </c>
      <c r="G429" s="2">
        <f t="shared" si="10"/>
        <v>15000</v>
      </c>
      <c r="H429" s="3">
        <v>45934</v>
      </c>
      <c r="I429" s="2" t="s">
        <v>272</v>
      </c>
    </row>
    <row r="430" spans="1:9" x14ac:dyDescent="0.3">
      <c r="A430" s="2" t="s">
        <v>283</v>
      </c>
      <c r="B430" s="2" t="s">
        <v>14</v>
      </c>
      <c r="D430" s="7" t="s">
        <v>60</v>
      </c>
      <c r="E430" s="2">
        <v>1500</v>
      </c>
      <c r="F430" s="2">
        <v>1500</v>
      </c>
      <c r="G430" s="2">
        <f t="shared" si="10"/>
        <v>0</v>
      </c>
      <c r="H430" s="3">
        <v>45934</v>
      </c>
      <c r="I430" s="2" t="s">
        <v>272</v>
      </c>
    </row>
    <row r="431" spans="1:9" x14ac:dyDescent="0.3">
      <c r="A431" s="2" t="s">
        <v>561</v>
      </c>
      <c r="B431" s="2" t="s">
        <v>19</v>
      </c>
      <c r="D431" s="7" t="s">
        <v>546</v>
      </c>
      <c r="G431" s="2">
        <f t="shared" si="10"/>
        <v>0</v>
      </c>
      <c r="H431" s="3">
        <v>45934</v>
      </c>
      <c r="I431" s="2" t="s">
        <v>272</v>
      </c>
    </row>
    <row r="432" spans="1:9" x14ac:dyDescent="0.3">
      <c r="A432" s="2" t="s">
        <v>100</v>
      </c>
      <c r="B432" s="2" t="s">
        <v>606</v>
      </c>
      <c r="C432" s="2" t="s">
        <v>695</v>
      </c>
      <c r="D432" s="7" t="s">
        <v>82</v>
      </c>
      <c r="E432" s="2">
        <v>4000</v>
      </c>
      <c r="F432" s="2">
        <v>4000</v>
      </c>
      <c r="G432" s="2">
        <f t="shared" ref="G432:G463" si="11">E432-F432</f>
        <v>0</v>
      </c>
      <c r="H432" s="3">
        <v>45934</v>
      </c>
      <c r="I432" s="2" t="s">
        <v>272</v>
      </c>
    </row>
    <row r="433" spans="1:9" ht="43.2" x14ac:dyDescent="0.3">
      <c r="A433" s="2" t="s">
        <v>7</v>
      </c>
      <c r="B433" s="2" t="s">
        <v>19</v>
      </c>
      <c r="D433" s="5" t="s">
        <v>696</v>
      </c>
      <c r="E433" s="2">
        <v>2750</v>
      </c>
      <c r="F433" s="2">
        <v>2750</v>
      </c>
      <c r="G433" s="2">
        <f t="shared" si="11"/>
        <v>0</v>
      </c>
      <c r="H433" s="3">
        <v>45936</v>
      </c>
      <c r="I433" s="2" t="s">
        <v>272</v>
      </c>
    </row>
    <row r="434" spans="1:9" x14ac:dyDescent="0.3">
      <c r="A434" s="2" t="s">
        <v>47</v>
      </c>
      <c r="B434" s="2" t="s">
        <v>30</v>
      </c>
      <c r="C434" s="2" t="s">
        <v>249</v>
      </c>
      <c r="D434" s="7" t="s">
        <v>285</v>
      </c>
      <c r="E434" s="2">
        <v>15000</v>
      </c>
      <c r="F434" s="2">
        <v>0</v>
      </c>
      <c r="G434" s="2">
        <f t="shared" si="11"/>
        <v>15000</v>
      </c>
      <c r="H434" s="3">
        <v>45936</v>
      </c>
      <c r="I434" s="2" t="s">
        <v>272</v>
      </c>
    </row>
    <row r="435" spans="1:9" x14ac:dyDescent="0.3">
      <c r="A435" s="2" t="s">
        <v>100</v>
      </c>
      <c r="B435" s="2" t="s">
        <v>606</v>
      </c>
      <c r="C435" s="2" t="s">
        <v>695</v>
      </c>
      <c r="D435" s="7" t="s">
        <v>160</v>
      </c>
      <c r="E435" s="2">
        <v>1000</v>
      </c>
      <c r="F435" s="2">
        <v>1000</v>
      </c>
      <c r="G435" s="2">
        <f t="shared" si="11"/>
        <v>0</v>
      </c>
      <c r="H435" s="3">
        <v>45936</v>
      </c>
      <c r="I435" s="2" t="s">
        <v>272</v>
      </c>
    </row>
    <row r="436" spans="1:9" ht="28.8" x14ac:dyDescent="0.3">
      <c r="A436" s="2" t="s">
        <v>305</v>
      </c>
      <c r="B436" s="2" t="s">
        <v>697</v>
      </c>
      <c r="D436" s="5" t="s">
        <v>698</v>
      </c>
      <c r="E436" s="2">
        <v>10000</v>
      </c>
      <c r="F436" s="2">
        <v>10000</v>
      </c>
      <c r="G436" s="2">
        <f t="shared" si="11"/>
        <v>0</v>
      </c>
      <c r="H436" s="3">
        <v>45937</v>
      </c>
      <c r="I436" s="2" t="s">
        <v>272</v>
      </c>
    </row>
    <row r="437" spans="1:9" x14ac:dyDescent="0.3">
      <c r="A437" s="2" t="s">
        <v>234</v>
      </c>
      <c r="B437" s="2" t="s">
        <v>72</v>
      </c>
      <c r="C437" s="2" t="s">
        <v>620</v>
      </c>
      <c r="D437" s="7" t="s">
        <v>699</v>
      </c>
      <c r="G437" s="2">
        <f t="shared" si="11"/>
        <v>0</v>
      </c>
      <c r="H437" s="3">
        <v>45937</v>
      </c>
      <c r="I437" s="2" t="s">
        <v>272</v>
      </c>
    </row>
    <row r="438" spans="1:9" ht="28.8" x14ac:dyDescent="0.3">
      <c r="A438" s="2" t="s">
        <v>21</v>
      </c>
      <c r="B438" s="2" t="s">
        <v>19</v>
      </c>
      <c r="C438" s="2" t="s">
        <v>202</v>
      </c>
      <c r="D438" s="5" t="s">
        <v>700</v>
      </c>
      <c r="E438" s="2">
        <v>3500</v>
      </c>
      <c r="F438" s="2">
        <v>0</v>
      </c>
      <c r="G438" s="2">
        <f t="shared" si="11"/>
        <v>3500</v>
      </c>
      <c r="H438" s="3">
        <v>45937</v>
      </c>
      <c r="I438" s="2" t="s">
        <v>272</v>
      </c>
    </row>
    <row r="439" spans="1:9" x14ac:dyDescent="0.3">
      <c r="A439" s="2" t="s">
        <v>100</v>
      </c>
      <c r="B439" s="2" t="s">
        <v>596</v>
      </c>
      <c r="C439" s="2" t="s">
        <v>457</v>
      </c>
      <c r="D439" s="7" t="s">
        <v>701</v>
      </c>
      <c r="E439" s="2">
        <v>15000</v>
      </c>
      <c r="F439" s="2">
        <v>15000</v>
      </c>
      <c r="G439" s="2">
        <f t="shared" si="11"/>
        <v>0</v>
      </c>
      <c r="H439" s="3">
        <v>45938</v>
      </c>
      <c r="I439" s="2" t="s">
        <v>272</v>
      </c>
    </row>
    <row r="440" spans="1:9" ht="28.8" x14ac:dyDescent="0.3">
      <c r="A440" s="2" t="s">
        <v>234</v>
      </c>
      <c r="B440" s="2" t="s">
        <v>72</v>
      </c>
      <c r="C440" s="2" t="s">
        <v>620</v>
      </c>
      <c r="D440" s="5" t="s">
        <v>702</v>
      </c>
      <c r="E440" s="2">
        <v>3500</v>
      </c>
      <c r="F440" s="2">
        <v>0</v>
      </c>
      <c r="G440" s="2">
        <f t="shared" si="11"/>
        <v>3500</v>
      </c>
      <c r="H440" s="3">
        <v>45938</v>
      </c>
      <c r="I440" s="2" t="s">
        <v>272</v>
      </c>
    </row>
    <row r="441" spans="1:9" x14ac:dyDescent="0.3">
      <c r="A441" s="2" t="s">
        <v>47</v>
      </c>
      <c r="B441" s="2" t="s">
        <v>19</v>
      </c>
      <c r="C441" s="2" t="s">
        <v>703</v>
      </c>
      <c r="D441" s="7" t="s">
        <v>704</v>
      </c>
      <c r="E441" s="2">
        <v>2500</v>
      </c>
      <c r="F441" s="2">
        <v>0</v>
      </c>
      <c r="G441" s="2">
        <f t="shared" si="11"/>
        <v>2500</v>
      </c>
      <c r="H441" s="3">
        <v>45938</v>
      </c>
      <c r="I441" s="2" t="s">
        <v>272</v>
      </c>
    </row>
    <row r="442" spans="1:9" x14ac:dyDescent="0.3">
      <c r="A442" s="2" t="s">
        <v>36</v>
      </c>
      <c r="B442" s="2" t="s">
        <v>705</v>
      </c>
      <c r="C442" s="2" t="s">
        <v>706</v>
      </c>
      <c r="D442" s="7" t="s">
        <v>707</v>
      </c>
      <c r="G442" s="2">
        <f t="shared" si="11"/>
        <v>0</v>
      </c>
      <c r="H442" s="3">
        <v>45943</v>
      </c>
      <c r="I442" s="2" t="s">
        <v>272</v>
      </c>
    </row>
    <row r="443" spans="1:9" x14ac:dyDescent="0.3">
      <c r="A443" s="2" t="s">
        <v>20</v>
      </c>
      <c r="B443" s="2">
        <v>2521</v>
      </c>
      <c r="C443" s="2" t="s">
        <v>708</v>
      </c>
      <c r="D443" s="7" t="s">
        <v>709</v>
      </c>
      <c r="E443" s="2">
        <v>5000</v>
      </c>
      <c r="F443" s="2">
        <v>0</v>
      </c>
      <c r="G443" s="2">
        <f t="shared" si="11"/>
        <v>5000</v>
      </c>
      <c r="H443" s="3">
        <v>45943</v>
      </c>
      <c r="I443" s="2" t="s">
        <v>272</v>
      </c>
    </row>
    <row r="444" spans="1:9" ht="28.8" x14ac:dyDescent="0.3">
      <c r="A444" s="2" t="s">
        <v>403</v>
      </c>
      <c r="B444" s="2" t="s">
        <v>98</v>
      </c>
      <c r="D444" s="5" t="s">
        <v>710</v>
      </c>
      <c r="E444" s="2">
        <v>2000</v>
      </c>
      <c r="F444" s="2">
        <v>600</v>
      </c>
      <c r="G444" s="2">
        <f t="shared" si="11"/>
        <v>1400</v>
      </c>
      <c r="H444" s="3">
        <v>45943</v>
      </c>
      <c r="I444" s="2" t="s">
        <v>272</v>
      </c>
    </row>
    <row r="445" spans="1:9" x14ac:dyDescent="0.3">
      <c r="A445" s="2" t="s">
        <v>21</v>
      </c>
      <c r="B445" s="2" t="s">
        <v>17</v>
      </c>
      <c r="C445" s="2" t="s">
        <v>340</v>
      </c>
      <c r="D445" s="7" t="s">
        <v>711</v>
      </c>
      <c r="E445" s="2">
        <v>1500</v>
      </c>
      <c r="F445" s="2">
        <v>0</v>
      </c>
      <c r="G445" s="2">
        <f t="shared" si="11"/>
        <v>1500</v>
      </c>
      <c r="H445" s="3">
        <v>45943</v>
      </c>
      <c r="I445" s="2" t="s">
        <v>272</v>
      </c>
    </row>
    <row r="446" spans="1:9" ht="28.8" x14ac:dyDescent="0.3">
      <c r="A446" s="2" t="s">
        <v>359</v>
      </c>
      <c r="B446" s="2" t="s">
        <v>329</v>
      </c>
      <c r="D446" s="5" t="s">
        <v>712</v>
      </c>
      <c r="E446" s="2">
        <v>3750</v>
      </c>
      <c r="F446" s="2">
        <v>750</v>
      </c>
      <c r="G446" s="2">
        <f t="shared" si="11"/>
        <v>3000</v>
      </c>
      <c r="H446" s="3">
        <v>45944</v>
      </c>
      <c r="I446" s="2" t="s">
        <v>272</v>
      </c>
    </row>
    <row r="447" spans="1:9" x14ac:dyDescent="0.3">
      <c r="A447" s="2" t="s">
        <v>120</v>
      </c>
      <c r="B447" s="2" t="s">
        <v>30</v>
      </c>
      <c r="C447" s="2" t="s">
        <v>713</v>
      </c>
      <c r="D447" s="7" t="s">
        <v>714</v>
      </c>
      <c r="E447" s="2">
        <v>6000</v>
      </c>
      <c r="F447" s="2">
        <v>0</v>
      </c>
      <c r="G447" s="2">
        <f t="shared" si="11"/>
        <v>6000</v>
      </c>
      <c r="H447" s="3">
        <v>45945</v>
      </c>
      <c r="I447" s="2" t="s">
        <v>272</v>
      </c>
    </row>
    <row r="448" spans="1:9" x14ac:dyDescent="0.3">
      <c r="A448" s="2" t="s">
        <v>21</v>
      </c>
      <c r="B448" s="2" t="s">
        <v>99</v>
      </c>
      <c r="D448" s="7" t="s">
        <v>285</v>
      </c>
      <c r="E448" s="2">
        <v>15000</v>
      </c>
      <c r="F448" s="2">
        <v>0</v>
      </c>
      <c r="G448" s="2">
        <f t="shared" si="11"/>
        <v>15000</v>
      </c>
      <c r="H448" s="3">
        <v>45945</v>
      </c>
      <c r="I448" s="2" t="s">
        <v>272</v>
      </c>
    </row>
    <row r="449" spans="1:9" x14ac:dyDescent="0.3">
      <c r="A449" s="2" t="s">
        <v>652</v>
      </c>
      <c r="B449" s="2">
        <v>2521</v>
      </c>
      <c r="D449" s="7" t="s">
        <v>715</v>
      </c>
      <c r="E449" s="2">
        <v>1000</v>
      </c>
      <c r="F449" s="2">
        <v>0</v>
      </c>
      <c r="G449" s="2">
        <f t="shared" si="11"/>
        <v>1000</v>
      </c>
      <c r="H449" s="3">
        <v>45946</v>
      </c>
      <c r="I449" s="2" t="s">
        <v>272</v>
      </c>
    </row>
    <row r="450" spans="1:9" x14ac:dyDescent="0.3">
      <c r="A450" s="2" t="s">
        <v>671</v>
      </c>
      <c r="B450" s="2" t="s">
        <v>19</v>
      </c>
      <c r="C450" s="2" t="s">
        <v>716</v>
      </c>
      <c r="D450" s="7" t="s">
        <v>717</v>
      </c>
      <c r="E450" s="2">
        <v>4000</v>
      </c>
      <c r="F450" s="2">
        <v>0</v>
      </c>
      <c r="G450" s="2">
        <f t="shared" si="11"/>
        <v>4000</v>
      </c>
      <c r="H450" s="3">
        <v>45946</v>
      </c>
      <c r="I450" s="2" t="s">
        <v>272</v>
      </c>
    </row>
    <row r="451" spans="1:9" x14ac:dyDescent="0.3">
      <c r="A451" s="2" t="s">
        <v>47</v>
      </c>
      <c r="B451" s="2" t="s">
        <v>19</v>
      </c>
      <c r="D451" s="7" t="s">
        <v>718</v>
      </c>
      <c r="E451" s="2">
        <v>5000</v>
      </c>
      <c r="F451" s="2">
        <v>0</v>
      </c>
      <c r="G451" s="2">
        <f t="shared" si="11"/>
        <v>5000</v>
      </c>
      <c r="H451" s="3">
        <v>45947</v>
      </c>
      <c r="I451" s="2" t="s">
        <v>272</v>
      </c>
    </row>
    <row r="452" spans="1:9" x14ac:dyDescent="0.3">
      <c r="A452" s="2" t="s">
        <v>719</v>
      </c>
      <c r="D452" s="7" t="s">
        <v>720</v>
      </c>
      <c r="G452" s="2">
        <f t="shared" si="11"/>
        <v>0</v>
      </c>
      <c r="H452" s="3">
        <v>45947</v>
      </c>
      <c r="I452" s="2" t="s">
        <v>273</v>
      </c>
    </row>
    <row r="453" spans="1:9" x14ac:dyDescent="0.3">
      <c r="A453" s="2" t="s">
        <v>368</v>
      </c>
      <c r="B453" s="2" t="s">
        <v>19</v>
      </c>
      <c r="C453" s="2" t="s">
        <v>721</v>
      </c>
      <c r="D453" s="7"/>
      <c r="G453" s="2">
        <f t="shared" si="11"/>
        <v>0</v>
      </c>
      <c r="H453" s="3">
        <v>45948</v>
      </c>
      <c r="I453" s="2" t="s">
        <v>272</v>
      </c>
    </row>
    <row r="454" spans="1:9" x14ac:dyDescent="0.3">
      <c r="A454" s="2" t="s">
        <v>450</v>
      </c>
      <c r="B454" s="2" t="s">
        <v>72</v>
      </c>
      <c r="C454" s="2" t="s">
        <v>451</v>
      </c>
      <c r="D454" s="7" t="s">
        <v>722</v>
      </c>
      <c r="E454" s="2">
        <v>3000</v>
      </c>
      <c r="F454" s="2">
        <v>3000</v>
      </c>
      <c r="G454" s="2">
        <f t="shared" si="11"/>
        <v>0</v>
      </c>
      <c r="H454" s="3">
        <v>45948</v>
      </c>
      <c r="I454" s="2" t="s">
        <v>272</v>
      </c>
    </row>
    <row r="455" spans="1:9" x14ac:dyDescent="0.3">
      <c r="A455" s="2" t="s">
        <v>47</v>
      </c>
      <c r="B455" s="2" t="s">
        <v>19</v>
      </c>
      <c r="C455" s="2" t="s">
        <v>123</v>
      </c>
      <c r="D455" s="7" t="s">
        <v>60</v>
      </c>
      <c r="E455" s="2">
        <v>2000</v>
      </c>
      <c r="F455" s="2">
        <v>0</v>
      </c>
      <c r="G455" s="2">
        <f t="shared" si="11"/>
        <v>2000</v>
      </c>
      <c r="H455" s="3">
        <v>45950</v>
      </c>
      <c r="I455" s="2" t="s">
        <v>272</v>
      </c>
    </row>
    <row r="456" spans="1:9" x14ac:dyDescent="0.3">
      <c r="A456" s="2" t="s">
        <v>433</v>
      </c>
      <c r="B456" s="2" t="s">
        <v>72</v>
      </c>
      <c r="C456" s="2" t="s">
        <v>434</v>
      </c>
      <c r="D456" s="7" t="s">
        <v>60</v>
      </c>
      <c r="E456" s="2">
        <v>2000</v>
      </c>
      <c r="F456" s="2">
        <v>0</v>
      </c>
      <c r="G456" s="2">
        <f t="shared" si="11"/>
        <v>2000</v>
      </c>
      <c r="H456" s="3">
        <v>45950</v>
      </c>
      <c r="I456" s="2" t="s">
        <v>272</v>
      </c>
    </row>
    <row r="457" spans="1:9" ht="57.6" x14ac:dyDescent="0.3">
      <c r="A457" s="2" t="s">
        <v>723</v>
      </c>
      <c r="B457" s="2" t="s">
        <v>19</v>
      </c>
      <c r="C457" s="2" t="s">
        <v>724</v>
      </c>
      <c r="D457" s="5" t="s">
        <v>725</v>
      </c>
      <c r="E457" s="2">
        <v>40000</v>
      </c>
      <c r="F457" s="2">
        <v>40000</v>
      </c>
      <c r="G457" s="2">
        <f t="shared" si="11"/>
        <v>0</v>
      </c>
      <c r="H457" s="3">
        <v>45950</v>
      </c>
      <c r="I457" s="2" t="s">
        <v>273</v>
      </c>
    </row>
    <row r="458" spans="1:9" x14ac:dyDescent="0.3">
      <c r="A458" s="2" t="s">
        <v>726</v>
      </c>
      <c r="B458" s="2" t="s">
        <v>72</v>
      </c>
      <c r="C458" s="2" t="s">
        <v>442</v>
      </c>
      <c r="D458" s="7" t="s">
        <v>727</v>
      </c>
      <c r="E458" s="2">
        <v>500</v>
      </c>
      <c r="F458" s="2">
        <v>500</v>
      </c>
      <c r="G458" s="2">
        <f t="shared" si="11"/>
        <v>0</v>
      </c>
      <c r="H458" s="3">
        <v>45950</v>
      </c>
      <c r="I458" s="2" t="s">
        <v>272</v>
      </c>
    </row>
    <row r="459" spans="1:9" x14ac:dyDescent="0.3">
      <c r="A459" s="2" t="s">
        <v>574</v>
      </c>
      <c r="B459" s="2" t="s">
        <v>30</v>
      </c>
      <c r="C459" s="2" t="s">
        <v>728</v>
      </c>
      <c r="D459" s="7" t="s">
        <v>141</v>
      </c>
      <c r="E459" s="2">
        <v>12000</v>
      </c>
      <c r="F459" s="2">
        <v>12000</v>
      </c>
      <c r="G459" s="2">
        <f t="shared" si="11"/>
        <v>0</v>
      </c>
      <c r="H459" s="3">
        <v>45951</v>
      </c>
      <c r="I459" s="2" t="s">
        <v>272</v>
      </c>
    </row>
    <row r="460" spans="1:9" ht="28.8" x14ac:dyDescent="0.3">
      <c r="A460" s="2" t="s">
        <v>90</v>
      </c>
      <c r="B460" s="2" t="s">
        <v>17</v>
      </c>
      <c r="C460" s="2" t="s">
        <v>729</v>
      </c>
      <c r="D460" s="5" t="s">
        <v>730</v>
      </c>
      <c r="G460" s="2">
        <f t="shared" si="11"/>
        <v>0</v>
      </c>
      <c r="H460" s="3">
        <v>45952</v>
      </c>
      <c r="I460" s="2" t="s">
        <v>272</v>
      </c>
    </row>
    <row r="461" spans="1:9" x14ac:dyDescent="0.3">
      <c r="A461" s="2" t="s">
        <v>120</v>
      </c>
      <c r="B461" s="2" t="s">
        <v>17</v>
      </c>
      <c r="C461" s="2" t="s">
        <v>731</v>
      </c>
      <c r="D461" s="7" t="s">
        <v>732</v>
      </c>
      <c r="E461" s="2">
        <v>1000</v>
      </c>
      <c r="F461" s="2">
        <v>0</v>
      </c>
      <c r="G461" s="2">
        <f t="shared" si="11"/>
        <v>1000</v>
      </c>
      <c r="H461" s="3">
        <v>45954</v>
      </c>
      <c r="I461" s="2" t="s">
        <v>272</v>
      </c>
    </row>
    <row r="462" spans="1:9" ht="28.8" x14ac:dyDescent="0.3">
      <c r="A462" s="2" t="s">
        <v>31</v>
      </c>
      <c r="B462" s="2" t="s">
        <v>72</v>
      </c>
      <c r="D462" s="5" t="s">
        <v>733</v>
      </c>
      <c r="E462" s="2">
        <v>3500</v>
      </c>
      <c r="F462" s="2">
        <v>3500</v>
      </c>
      <c r="G462" s="2">
        <f t="shared" si="11"/>
        <v>0</v>
      </c>
      <c r="H462" s="3">
        <v>45955</v>
      </c>
      <c r="I462" s="2" t="s">
        <v>272</v>
      </c>
    </row>
    <row r="463" spans="1:9" x14ac:dyDescent="0.3">
      <c r="A463" s="2" t="s">
        <v>734</v>
      </c>
      <c r="B463" s="2" t="s">
        <v>44</v>
      </c>
      <c r="C463" s="2" t="s">
        <v>735</v>
      </c>
      <c r="D463" s="7" t="s">
        <v>126</v>
      </c>
      <c r="E463" s="2">
        <v>10000</v>
      </c>
      <c r="F463" s="2">
        <v>0</v>
      </c>
      <c r="G463" s="2">
        <f t="shared" si="11"/>
        <v>10000</v>
      </c>
      <c r="H463" s="3">
        <v>45957</v>
      </c>
      <c r="I463" s="2" t="s">
        <v>272</v>
      </c>
    </row>
    <row r="464" spans="1:9" ht="28.8" x14ac:dyDescent="0.3">
      <c r="A464" s="2" t="s">
        <v>21</v>
      </c>
      <c r="B464" s="2" t="s">
        <v>99</v>
      </c>
      <c r="D464" s="5" t="s">
        <v>736</v>
      </c>
      <c r="G464" s="2">
        <f t="shared" ref="G464:G481" si="12">E464-F464</f>
        <v>0</v>
      </c>
      <c r="H464" s="3">
        <v>45957</v>
      </c>
      <c r="I464" s="2" t="s">
        <v>272</v>
      </c>
    </row>
    <row r="465" spans="1:9" ht="28.8" x14ac:dyDescent="0.3">
      <c r="A465" s="2" t="s">
        <v>671</v>
      </c>
      <c r="B465" s="2" t="s">
        <v>19</v>
      </c>
      <c r="C465" s="2" t="s">
        <v>737</v>
      </c>
      <c r="D465" s="5" t="s">
        <v>738</v>
      </c>
      <c r="G465" s="2">
        <f t="shared" si="12"/>
        <v>0</v>
      </c>
      <c r="H465" s="3">
        <v>45958</v>
      </c>
      <c r="I465" s="2" t="s">
        <v>272</v>
      </c>
    </row>
    <row r="466" spans="1:9" x14ac:dyDescent="0.3">
      <c r="A466" s="2" t="s">
        <v>47</v>
      </c>
      <c r="B466" s="2" t="s">
        <v>19</v>
      </c>
      <c r="C466" s="2" t="s">
        <v>721</v>
      </c>
      <c r="D466" s="7" t="s">
        <v>739</v>
      </c>
      <c r="G466" s="2">
        <f t="shared" si="12"/>
        <v>0</v>
      </c>
      <c r="H466" s="3">
        <v>45959</v>
      </c>
      <c r="I466" s="2" t="s">
        <v>272</v>
      </c>
    </row>
    <row r="467" spans="1:9" x14ac:dyDescent="0.3">
      <c r="A467" s="2" t="s">
        <v>47</v>
      </c>
      <c r="B467" s="2" t="s">
        <v>30</v>
      </c>
      <c r="C467" s="2" t="s">
        <v>249</v>
      </c>
      <c r="D467" s="7" t="s">
        <v>722</v>
      </c>
      <c r="G467" s="2">
        <f t="shared" si="12"/>
        <v>0</v>
      </c>
      <c r="H467" s="3">
        <v>45959</v>
      </c>
      <c r="I467" s="2" t="s">
        <v>272</v>
      </c>
    </row>
    <row r="468" spans="1:9" x14ac:dyDescent="0.3">
      <c r="A468" s="2" t="s">
        <v>234</v>
      </c>
      <c r="B468" s="2" t="s">
        <v>72</v>
      </c>
      <c r="C468" s="2" t="s">
        <v>620</v>
      </c>
      <c r="D468" s="7" t="s">
        <v>740</v>
      </c>
      <c r="E468" s="2">
        <v>2500</v>
      </c>
      <c r="F468" s="2">
        <v>0</v>
      </c>
      <c r="G468" s="2">
        <f t="shared" si="12"/>
        <v>2500</v>
      </c>
      <c r="H468" s="3">
        <v>45959</v>
      </c>
      <c r="I468" s="2" t="s">
        <v>272</v>
      </c>
    </row>
    <row r="469" spans="1:9" x14ac:dyDescent="0.3">
      <c r="A469" s="2" t="s">
        <v>90</v>
      </c>
      <c r="B469" s="2" t="s">
        <v>72</v>
      </c>
      <c r="C469" s="2" t="s">
        <v>414</v>
      </c>
      <c r="D469" s="7" t="s">
        <v>740</v>
      </c>
      <c r="G469" s="2">
        <f t="shared" si="12"/>
        <v>0</v>
      </c>
      <c r="H469" s="3">
        <v>45959</v>
      </c>
      <c r="I469" s="2" t="s">
        <v>272</v>
      </c>
    </row>
    <row r="470" spans="1:9" x14ac:dyDescent="0.3">
      <c r="A470" s="2" t="s">
        <v>21</v>
      </c>
      <c r="B470" s="2" t="s">
        <v>30</v>
      </c>
      <c r="C470" s="2" t="s">
        <v>349</v>
      </c>
      <c r="D470" s="7" t="s">
        <v>741</v>
      </c>
      <c r="G470" s="2">
        <f t="shared" si="12"/>
        <v>0</v>
      </c>
      <c r="H470" s="3">
        <v>45960</v>
      </c>
      <c r="I470" s="2" t="s">
        <v>273</v>
      </c>
    </row>
    <row r="471" spans="1:9" ht="28.8" x14ac:dyDescent="0.3">
      <c r="A471" s="2" t="s">
        <v>206</v>
      </c>
      <c r="B471" s="2" t="s">
        <v>98</v>
      </c>
      <c r="D471" s="5" t="s">
        <v>745</v>
      </c>
      <c r="E471" s="2">
        <v>50000</v>
      </c>
      <c r="F471" s="2">
        <v>0</v>
      </c>
      <c r="G471" s="2">
        <f t="shared" si="12"/>
        <v>50000</v>
      </c>
      <c r="H471" s="3">
        <v>45960</v>
      </c>
      <c r="I471" s="2" t="s">
        <v>273</v>
      </c>
    </row>
    <row r="472" spans="1:9" x14ac:dyDescent="0.3">
      <c r="A472" s="2" t="s">
        <v>7</v>
      </c>
      <c r="B472" s="2" t="s">
        <v>9</v>
      </c>
      <c r="C472" s="2" t="s">
        <v>742</v>
      </c>
      <c r="D472" s="7" t="s">
        <v>753</v>
      </c>
      <c r="G472" s="2">
        <f t="shared" si="12"/>
        <v>0</v>
      </c>
      <c r="H472" s="2"/>
      <c r="I472" s="2" t="s">
        <v>272</v>
      </c>
    </row>
    <row r="473" spans="1:9" ht="28.8" x14ac:dyDescent="0.3">
      <c r="A473" s="2" t="s">
        <v>726</v>
      </c>
      <c r="B473" s="2" t="s">
        <v>72</v>
      </c>
      <c r="C473" s="2" t="s">
        <v>442</v>
      </c>
      <c r="D473" s="5" t="s">
        <v>754</v>
      </c>
      <c r="E473" s="2">
        <v>2000</v>
      </c>
      <c r="F473" s="2">
        <v>2000</v>
      </c>
      <c r="G473" s="2">
        <f t="shared" si="12"/>
        <v>0</v>
      </c>
      <c r="H473" s="3">
        <v>45961</v>
      </c>
      <c r="I473" s="2" t="s">
        <v>272</v>
      </c>
    </row>
    <row r="474" spans="1:9" x14ac:dyDescent="0.3">
      <c r="A474" s="2" t="s">
        <v>36</v>
      </c>
      <c r="B474" s="2" t="s">
        <v>392</v>
      </c>
      <c r="C474" s="2" t="s">
        <v>706</v>
      </c>
      <c r="D474" s="7" t="s">
        <v>743</v>
      </c>
      <c r="E474" s="2">
        <v>1000</v>
      </c>
      <c r="F474" s="2">
        <v>0</v>
      </c>
      <c r="G474" s="2">
        <f t="shared" si="12"/>
        <v>1000</v>
      </c>
      <c r="H474" s="3">
        <v>45961</v>
      </c>
      <c r="I474" s="2" t="s">
        <v>272</v>
      </c>
    </row>
    <row r="475" spans="1:9" x14ac:dyDescent="0.3">
      <c r="A475" s="2" t="s">
        <v>601</v>
      </c>
      <c r="B475" s="2" t="s">
        <v>602</v>
      </c>
      <c r="D475" s="7" t="s">
        <v>744</v>
      </c>
      <c r="G475" s="2">
        <f t="shared" si="12"/>
        <v>0</v>
      </c>
      <c r="H475" s="2"/>
      <c r="I475" s="2" t="s">
        <v>272</v>
      </c>
    </row>
    <row r="476" spans="1:9" x14ac:dyDescent="0.3">
      <c r="A476" s="2" t="s">
        <v>746</v>
      </c>
      <c r="B476" s="2" t="s">
        <v>261</v>
      </c>
      <c r="C476" s="2" t="s">
        <v>440</v>
      </c>
      <c r="D476" s="7" t="s">
        <v>747</v>
      </c>
      <c r="E476" s="2">
        <v>5000</v>
      </c>
      <c r="F476" s="2">
        <v>5000</v>
      </c>
      <c r="G476" s="2">
        <f t="shared" si="12"/>
        <v>0</v>
      </c>
      <c r="H476" s="3">
        <v>45962</v>
      </c>
      <c r="I476" s="2" t="s">
        <v>272</v>
      </c>
    </row>
    <row r="477" spans="1:9" ht="28.8" x14ac:dyDescent="0.3">
      <c r="A477" s="2" t="s">
        <v>583</v>
      </c>
      <c r="B477" s="2" t="s">
        <v>72</v>
      </c>
      <c r="C477" s="2" t="s">
        <v>748</v>
      </c>
      <c r="D477" s="5" t="s">
        <v>749</v>
      </c>
      <c r="G477" s="2">
        <f t="shared" si="12"/>
        <v>0</v>
      </c>
      <c r="H477" s="3">
        <v>45962</v>
      </c>
      <c r="I477" s="2" t="s">
        <v>272</v>
      </c>
    </row>
    <row r="478" spans="1:9" x14ac:dyDescent="0.3">
      <c r="A478" s="2" t="s">
        <v>601</v>
      </c>
      <c r="B478" s="2" t="s">
        <v>602</v>
      </c>
      <c r="D478" s="7" t="s">
        <v>750</v>
      </c>
      <c r="G478" s="2">
        <f t="shared" si="12"/>
        <v>0</v>
      </c>
      <c r="H478" s="3">
        <v>45962</v>
      </c>
      <c r="I478" s="2" t="s">
        <v>272</v>
      </c>
    </row>
    <row r="479" spans="1:9" x14ac:dyDescent="0.3">
      <c r="A479" s="2" t="s">
        <v>321</v>
      </c>
      <c r="B479" s="2" t="s">
        <v>30</v>
      </c>
      <c r="D479" s="7" t="s">
        <v>751</v>
      </c>
      <c r="E479" s="2">
        <v>3000</v>
      </c>
      <c r="F479" s="2">
        <v>0</v>
      </c>
      <c r="G479" s="2">
        <f t="shared" si="12"/>
        <v>3000</v>
      </c>
      <c r="H479" s="3">
        <v>45931</v>
      </c>
      <c r="I479" s="2" t="s">
        <v>272</v>
      </c>
    </row>
    <row r="480" spans="1:9" x14ac:dyDescent="0.3">
      <c r="A480" s="2" t="s">
        <v>100</v>
      </c>
      <c r="B480" s="2" t="s">
        <v>19</v>
      </c>
      <c r="C480" s="2" t="s">
        <v>752</v>
      </c>
      <c r="D480" s="7" t="s">
        <v>60</v>
      </c>
      <c r="E480" s="2">
        <v>2000</v>
      </c>
      <c r="F480" s="2">
        <v>0</v>
      </c>
      <c r="G480" s="2">
        <f t="shared" si="12"/>
        <v>2000</v>
      </c>
      <c r="H480" s="3">
        <v>45964</v>
      </c>
      <c r="I480" s="2" t="s">
        <v>272</v>
      </c>
    </row>
    <row r="481" spans="1:9" x14ac:dyDescent="0.3">
      <c r="A481" s="2" t="s">
        <v>763</v>
      </c>
      <c r="B481" s="2" t="s">
        <v>223</v>
      </c>
      <c r="C481" s="2" t="s">
        <v>352</v>
      </c>
      <c r="D481" s="7"/>
      <c r="G481" s="2">
        <f t="shared" si="12"/>
        <v>0</v>
      </c>
      <c r="H481" s="3">
        <v>45972</v>
      </c>
      <c r="I481" s="2" t="s">
        <v>272</v>
      </c>
    </row>
    <row r="482" spans="1:9" x14ac:dyDescent="0.3">
      <c r="A482" s="2" t="s">
        <v>559</v>
      </c>
      <c r="B482" s="2" t="s">
        <v>109</v>
      </c>
      <c r="D482" s="7" t="s">
        <v>779</v>
      </c>
      <c r="E482" s="2">
        <v>2000</v>
      </c>
      <c r="F482" s="2">
        <v>2000</v>
      </c>
      <c r="G482" s="2">
        <f>E482-F482</f>
        <v>0</v>
      </c>
      <c r="H482" s="3">
        <v>45973</v>
      </c>
      <c r="I482" s="2" t="s">
        <v>567</v>
      </c>
    </row>
    <row r="483" spans="1:9" x14ac:dyDescent="0.3">
      <c r="A483" s="2" t="s">
        <v>153</v>
      </c>
      <c r="B483" s="2" t="s">
        <v>72</v>
      </c>
      <c r="C483" s="2" t="s">
        <v>444</v>
      </c>
      <c r="D483" s="5" t="s">
        <v>764</v>
      </c>
      <c r="G483" s="2">
        <f>E483-F483</f>
        <v>0</v>
      </c>
      <c r="H483" s="3">
        <v>45973</v>
      </c>
      <c r="I483" s="2" t="s">
        <v>272</v>
      </c>
    </row>
    <row r="484" spans="1:9" x14ac:dyDescent="0.3">
      <c r="A484" s="2" t="s">
        <v>534</v>
      </c>
      <c r="B484" s="2" t="s">
        <v>169</v>
      </c>
      <c r="D484" s="7" t="s">
        <v>765</v>
      </c>
      <c r="G484" s="2">
        <f>E484-F484</f>
        <v>0</v>
      </c>
      <c r="H484" s="3">
        <v>45973</v>
      </c>
      <c r="I484" s="2" t="s">
        <v>272</v>
      </c>
    </row>
    <row r="485" spans="1:9" ht="28.8" x14ac:dyDescent="0.3">
      <c r="A485" s="2" t="s">
        <v>234</v>
      </c>
      <c r="B485" s="2" t="s">
        <v>72</v>
      </c>
      <c r="C485" s="2" t="s">
        <v>766</v>
      </c>
      <c r="D485" s="5" t="s">
        <v>767</v>
      </c>
      <c r="E485" s="2">
        <v>3500</v>
      </c>
      <c r="F485" s="2">
        <v>0</v>
      </c>
      <c r="G485" s="2">
        <f>E485-F485</f>
        <v>3500</v>
      </c>
      <c r="H485" s="3">
        <v>45973</v>
      </c>
      <c r="I485" s="2" t="s">
        <v>272</v>
      </c>
    </row>
    <row r="486" spans="1:9" x14ac:dyDescent="0.3">
      <c r="A486" s="2" t="s">
        <v>218</v>
      </c>
      <c r="B486" s="2" t="s">
        <v>72</v>
      </c>
      <c r="C486" s="2" t="s">
        <v>241</v>
      </c>
      <c r="D486" s="7" t="s">
        <v>715</v>
      </c>
      <c r="E486" s="2">
        <v>750</v>
      </c>
      <c r="F486" s="2">
        <v>750</v>
      </c>
      <c r="G486" s="2">
        <f>E486-F486</f>
        <v>0</v>
      </c>
      <c r="H486" s="3">
        <v>45974</v>
      </c>
      <c r="I486" s="2" t="s">
        <v>272</v>
      </c>
    </row>
    <row r="487" spans="1:9" x14ac:dyDescent="0.3">
      <c r="A487" s="2" t="s">
        <v>561</v>
      </c>
      <c r="B487" s="2" t="s">
        <v>19</v>
      </c>
      <c r="C487" s="2" t="s">
        <v>768</v>
      </c>
      <c r="D487" s="7" t="s">
        <v>769</v>
      </c>
      <c r="E487" s="2">
        <v>1500</v>
      </c>
      <c r="F487" s="2">
        <v>0</v>
      </c>
      <c r="G487" s="2">
        <f>E487-F487</f>
        <v>1500</v>
      </c>
      <c r="H487" s="3">
        <v>45974</v>
      </c>
      <c r="I487" s="2" t="s">
        <v>272</v>
      </c>
    </row>
    <row r="488" spans="1:9" x14ac:dyDescent="0.3">
      <c r="A488" s="2" t="s">
        <v>534</v>
      </c>
      <c r="B488" s="2" t="s">
        <v>169</v>
      </c>
      <c r="D488" s="7" t="s">
        <v>770</v>
      </c>
      <c r="E488" s="2">
        <v>33000</v>
      </c>
      <c r="F488" s="2">
        <v>33000</v>
      </c>
      <c r="G488" s="2">
        <f>E488-F488</f>
        <v>0</v>
      </c>
      <c r="H488" s="3">
        <v>45975</v>
      </c>
      <c r="I488" s="2" t="s">
        <v>273</v>
      </c>
    </row>
    <row r="489" spans="1:9" x14ac:dyDescent="0.3">
      <c r="A489" s="2" t="s">
        <v>771</v>
      </c>
      <c r="B489" s="2" t="s">
        <v>9</v>
      </c>
      <c r="C489" s="2" t="s">
        <v>772</v>
      </c>
      <c r="D489" s="7" t="s">
        <v>773</v>
      </c>
      <c r="E489" s="2">
        <v>600</v>
      </c>
      <c r="F489" s="2">
        <v>600</v>
      </c>
      <c r="G489" s="2">
        <v>0</v>
      </c>
      <c r="H489" s="3">
        <v>45976</v>
      </c>
      <c r="I489" s="2" t="s">
        <v>272</v>
      </c>
    </row>
    <row r="490" spans="1:9" x14ac:dyDescent="0.3">
      <c r="A490" s="2" t="s">
        <v>21</v>
      </c>
      <c r="B490" s="2" t="s">
        <v>461</v>
      </c>
      <c r="D490" s="7" t="s">
        <v>781</v>
      </c>
      <c r="G490" s="2">
        <f>E490-F490</f>
        <v>0</v>
      </c>
      <c r="H490" s="3">
        <v>45978</v>
      </c>
      <c r="I490" s="2" t="s">
        <v>272</v>
      </c>
    </row>
    <row r="491" spans="1:9" x14ac:dyDescent="0.3">
      <c r="A491" s="2" t="s">
        <v>21</v>
      </c>
      <c r="B491" s="2" t="s">
        <v>19</v>
      </c>
      <c r="C491" s="2" t="s">
        <v>349</v>
      </c>
      <c r="D491" s="8" t="s">
        <v>780</v>
      </c>
      <c r="H491" s="14">
        <v>45978</v>
      </c>
      <c r="I491" s="2" t="s">
        <v>567</v>
      </c>
    </row>
    <row r="492" spans="1:9" x14ac:dyDescent="0.3">
      <c r="A492" s="2" t="s">
        <v>774</v>
      </c>
      <c r="B492" s="2" t="s">
        <v>19</v>
      </c>
      <c r="C492" s="2" t="s">
        <v>775</v>
      </c>
      <c r="D492" s="7" t="s">
        <v>776</v>
      </c>
      <c r="G492" s="2">
        <f>E492-F492</f>
        <v>0</v>
      </c>
      <c r="H492" s="3">
        <v>45979</v>
      </c>
      <c r="I492" s="2" t="s">
        <v>272</v>
      </c>
    </row>
    <row r="493" spans="1:9" x14ac:dyDescent="0.3">
      <c r="A493" s="2" t="s">
        <v>57</v>
      </c>
      <c r="B493" s="2" t="s">
        <v>19</v>
      </c>
      <c r="D493" s="7" t="s">
        <v>797</v>
      </c>
      <c r="E493" s="2">
        <v>3500</v>
      </c>
      <c r="F493" s="2">
        <v>0</v>
      </c>
      <c r="G493" s="2">
        <f>E493-F493</f>
        <v>3500</v>
      </c>
      <c r="H493" s="3">
        <v>45980</v>
      </c>
      <c r="I493" s="2" t="s">
        <v>272</v>
      </c>
    </row>
    <row r="494" spans="1:9" ht="28.8" x14ac:dyDescent="0.3">
      <c r="A494" s="2" t="s">
        <v>540</v>
      </c>
      <c r="B494" s="2" t="s">
        <v>318</v>
      </c>
      <c r="C494" s="2" t="s">
        <v>777</v>
      </c>
      <c r="D494" s="5" t="s">
        <v>778</v>
      </c>
      <c r="E494" s="2">
        <v>5000</v>
      </c>
      <c r="F494" s="2">
        <v>0</v>
      </c>
      <c r="G494" s="2">
        <f t="shared" ref="G494:G526" si="13">E494-F494</f>
        <v>5000</v>
      </c>
      <c r="H494" s="3">
        <v>45980</v>
      </c>
      <c r="I494" s="2" t="s">
        <v>272</v>
      </c>
    </row>
    <row r="495" spans="1:9" x14ac:dyDescent="0.3">
      <c r="A495" s="2" t="s">
        <v>21</v>
      </c>
      <c r="B495" s="2" t="s">
        <v>30</v>
      </c>
      <c r="C495" s="2" t="s">
        <v>68</v>
      </c>
      <c r="D495" s="7" t="s">
        <v>632</v>
      </c>
      <c r="G495" s="2">
        <f t="shared" si="13"/>
        <v>0</v>
      </c>
      <c r="H495" s="3">
        <v>45980</v>
      </c>
      <c r="I495" s="2" t="s">
        <v>272</v>
      </c>
    </row>
    <row r="496" spans="1:9" x14ac:dyDescent="0.3">
      <c r="A496" s="2" t="s">
        <v>162</v>
      </c>
      <c r="B496" s="2" t="s">
        <v>109</v>
      </c>
      <c r="C496" s="2" t="s">
        <v>164</v>
      </c>
      <c r="D496" s="7"/>
      <c r="G496" s="2">
        <f t="shared" si="13"/>
        <v>0</v>
      </c>
      <c r="H496" s="3">
        <v>45981</v>
      </c>
      <c r="I496" s="2" t="s">
        <v>272</v>
      </c>
    </row>
    <row r="497" spans="1:9" x14ac:dyDescent="0.3">
      <c r="A497" s="2" t="s">
        <v>47</v>
      </c>
      <c r="B497" s="2" t="s">
        <v>97</v>
      </c>
      <c r="C497" s="2" t="s">
        <v>703</v>
      </c>
      <c r="D497" s="7"/>
      <c r="G497" s="2">
        <f t="shared" si="13"/>
        <v>0</v>
      </c>
      <c r="H497" s="3">
        <v>45981</v>
      </c>
      <c r="I497" s="2" t="s">
        <v>272</v>
      </c>
    </row>
    <row r="498" spans="1:9" x14ac:dyDescent="0.3">
      <c r="A498" s="2" t="s">
        <v>782</v>
      </c>
      <c r="B498" s="2" t="s">
        <v>72</v>
      </c>
      <c r="C498" s="2" t="s">
        <v>783</v>
      </c>
      <c r="D498" s="7"/>
      <c r="G498" s="2">
        <f t="shared" si="13"/>
        <v>0</v>
      </c>
      <c r="H498" s="3">
        <v>45981</v>
      </c>
      <c r="I498" s="2" t="s">
        <v>272</v>
      </c>
    </row>
    <row r="499" spans="1:9" x14ac:dyDescent="0.3">
      <c r="A499" s="2" t="s">
        <v>784</v>
      </c>
      <c r="B499" s="2" t="s">
        <v>17</v>
      </c>
      <c r="C499" s="2" t="s">
        <v>785</v>
      </c>
      <c r="D499" s="7"/>
      <c r="G499" s="2">
        <f t="shared" si="13"/>
        <v>0</v>
      </c>
      <c r="H499" s="3">
        <v>45981</v>
      </c>
      <c r="I499" s="2" t="s">
        <v>272</v>
      </c>
    </row>
    <row r="500" spans="1:9" x14ac:dyDescent="0.3">
      <c r="A500" s="2" t="s">
        <v>90</v>
      </c>
      <c r="B500" s="2" t="s">
        <v>493</v>
      </c>
      <c r="C500" s="2" t="s">
        <v>414</v>
      </c>
      <c r="D500" s="7" t="s">
        <v>786</v>
      </c>
      <c r="G500" s="2">
        <f t="shared" si="13"/>
        <v>0</v>
      </c>
      <c r="H500" s="3">
        <v>45982</v>
      </c>
      <c r="I500" s="2" t="s">
        <v>272</v>
      </c>
    </row>
    <row r="501" spans="1:9" x14ac:dyDescent="0.3">
      <c r="A501" s="2" t="s">
        <v>283</v>
      </c>
      <c r="B501" s="2" t="s">
        <v>190</v>
      </c>
      <c r="D501" s="7" t="s">
        <v>787</v>
      </c>
      <c r="G501" s="2">
        <f t="shared" si="13"/>
        <v>0</v>
      </c>
      <c r="H501" s="3">
        <v>45983</v>
      </c>
      <c r="I501" s="2" t="s">
        <v>272</v>
      </c>
    </row>
    <row r="502" spans="1:9" x14ac:dyDescent="0.3">
      <c r="A502" s="2" t="s">
        <v>204</v>
      </c>
      <c r="B502" s="2" t="s">
        <v>788</v>
      </c>
      <c r="C502" s="2" t="s">
        <v>201</v>
      </c>
      <c r="D502" s="7" t="s">
        <v>789</v>
      </c>
      <c r="G502" s="2">
        <f t="shared" si="13"/>
        <v>0</v>
      </c>
      <c r="H502" s="3">
        <v>45983</v>
      </c>
      <c r="I502" s="2" t="s">
        <v>272</v>
      </c>
    </row>
    <row r="503" spans="1:9" ht="43.2" x14ac:dyDescent="0.3">
      <c r="A503" s="2" t="s">
        <v>790</v>
      </c>
      <c r="B503" s="2" t="s">
        <v>461</v>
      </c>
      <c r="C503" s="2" t="s">
        <v>355</v>
      </c>
      <c r="D503" s="5" t="s">
        <v>791</v>
      </c>
      <c r="E503" s="2">
        <v>10000</v>
      </c>
      <c r="F503" s="2">
        <v>10000</v>
      </c>
      <c r="G503" s="2">
        <f t="shared" si="13"/>
        <v>0</v>
      </c>
      <c r="H503" s="3">
        <v>45983</v>
      </c>
      <c r="I503" s="2" t="s">
        <v>272</v>
      </c>
    </row>
    <row r="504" spans="1:9" x14ac:dyDescent="0.3">
      <c r="A504" s="2" t="s">
        <v>90</v>
      </c>
      <c r="B504" s="2" t="s">
        <v>493</v>
      </c>
      <c r="C504" s="2" t="s">
        <v>414</v>
      </c>
      <c r="D504" s="7" t="s">
        <v>786</v>
      </c>
      <c r="G504" s="2">
        <f t="shared" ref="G504" si="14">E504-F504</f>
        <v>0</v>
      </c>
      <c r="H504" s="3">
        <v>45985</v>
      </c>
      <c r="I504" s="2" t="s">
        <v>272</v>
      </c>
    </row>
    <row r="505" spans="1:9" x14ac:dyDescent="0.3">
      <c r="A505" s="2" t="s">
        <v>488</v>
      </c>
      <c r="B505" s="2" t="s">
        <v>697</v>
      </c>
      <c r="D505" s="7" t="s">
        <v>796</v>
      </c>
      <c r="E505" s="2">
        <v>2000</v>
      </c>
      <c r="F505" s="2">
        <v>0</v>
      </c>
      <c r="G505" s="2">
        <f>E505-F505</f>
        <v>2000</v>
      </c>
      <c r="H505" s="3">
        <v>45985</v>
      </c>
      <c r="I505" s="2" t="s">
        <v>272</v>
      </c>
    </row>
    <row r="506" spans="1:9" ht="43.2" x14ac:dyDescent="0.3">
      <c r="A506" s="2" t="s">
        <v>792</v>
      </c>
      <c r="B506" s="2" t="s">
        <v>493</v>
      </c>
      <c r="C506" s="2" t="s">
        <v>748</v>
      </c>
      <c r="D506" s="5" t="s">
        <v>793</v>
      </c>
      <c r="G506" s="2">
        <f t="shared" si="13"/>
        <v>0</v>
      </c>
      <c r="H506" s="3">
        <v>45985</v>
      </c>
      <c r="I506" s="2" t="s">
        <v>272</v>
      </c>
    </row>
    <row r="507" spans="1:9" x14ac:dyDescent="0.3">
      <c r="A507" s="2" t="s">
        <v>100</v>
      </c>
      <c r="B507" s="2" t="s">
        <v>78</v>
      </c>
      <c r="C507" s="2" t="s">
        <v>523</v>
      </c>
      <c r="D507" s="7" t="s">
        <v>794</v>
      </c>
      <c r="E507" s="2">
        <v>500</v>
      </c>
      <c r="F507" s="2">
        <v>0</v>
      </c>
      <c r="G507" s="2">
        <f t="shared" si="13"/>
        <v>500</v>
      </c>
      <c r="H507" s="3">
        <v>45986</v>
      </c>
      <c r="I507" s="2" t="s">
        <v>272</v>
      </c>
    </row>
    <row r="508" spans="1:9" ht="28.8" x14ac:dyDescent="0.3">
      <c r="A508" s="2" t="s">
        <v>56</v>
      </c>
      <c r="B508" s="2" t="s">
        <v>14</v>
      </c>
      <c r="D508" s="5" t="s">
        <v>795</v>
      </c>
      <c r="E508" s="2">
        <v>6000</v>
      </c>
      <c r="F508" s="2">
        <v>6000</v>
      </c>
      <c r="G508" s="2">
        <f t="shared" si="13"/>
        <v>0</v>
      </c>
      <c r="H508" s="3">
        <v>45986</v>
      </c>
      <c r="I508" s="2" t="s">
        <v>272</v>
      </c>
    </row>
    <row r="509" spans="1:9" x14ac:dyDescent="0.3">
      <c r="A509" s="2" t="s">
        <v>56</v>
      </c>
      <c r="B509" s="2" t="s">
        <v>14</v>
      </c>
      <c r="D509" s="7" t="s">
        <v>60</v>
      </c>
      <c r="E509" s="2">
        <v>1500</v>
      </c>
      <c r="F509" s="2">
        <v>1500</v>
      </c>
      <c r="G509" s="2">
        <f t="shared" si="13"/>
        <v>0</v>
      </c>
      <c r="H509" s="3">
        <v>45988</v>
      </c>
      <c r="I509" s="2" t="s">
        <v>272</v>
      </c>
    </row>
    <row r="510" spans="1:9" x14ac:dyDescent="0.3">
      <c r="A510" s="2" t="s">
        <v>57</v>
      </c>
      <c r="B510" s="2" t="s">
        <v>476</v>
      </c>
      <c r="C510" s="2" t="s">
        <v>512</v>
      </c>
      <c r="D510" s="7" t="s">
        <v>798</v>
      </c>
      <c r="E510" s="2">
        <v>500</v>
      </c>
      <c r="F510" s="2">
        <v>0</v>
      </c>
      <c r="G510" s="2"/>
      <c r="H510" s="3">
        <v>45988</v>
      </c>
      <c r="I510" s="2" t="s">
        <v>272</v>
      </c>
    </row>
    <row r="511" spans="1:9" x14ac:dyDescent="0.3">
      <c r="A511" s="2" t="s">
        <v>228</v>
      </c>
      <c r="B511" s="2" t="s">
        <v>72</v>
      </c>
      <c r="C511" s="2" t="s">
        <v>230</v>
      </c>
      <c r="D511" s="7" t="s">
        <v>715</v>
      </c>
      <c r="E511" s="2">
        <v>750</v>
      </c>
      <c r="F511" s="2">
        <v>750</v>
      </c>
      <c r="G511" s="2">
        <f t="shared" si="13"/>
        <v>0</v>
      </c>
      <c r="H511" s="3">
        <v>45988</v>
      </c>
      <c r="I511" s="2" t="s">
        <v>272</v>
      </c>
    </row>
    <row r="512" spans="1:9" x14ac:dyDescent="0.3">
      <c r="D512" s="7"/>
      <c r="G512" s="2">
        <f t="shared" si="13"/>
        <v>0</v>
      </c>
      <c r="H512" s="2"/>
      <c r="I512" s="2"/>
    </row>
    <row r="513" spans="4:9" x14ac:dyDescent="0.3">
      <c r="D513" s="7"/>
      <c r="G513" s="2">
        <f t="shared" si="13"/>
        <v>0</v>
      </c>
      <c r="H513" s="2"/>
      <c r="I513" s="2"/>
    </row>
    <row r="514" spans="4:9" x14ac:dyDescent="0.3">
      <c r="D514" s="7"/>
      <c r="G514" s="2">
        <f t="shared" si="13"/>
        <v>0</v>
      </c>
      <c r="H514" s="2"/>
      <c r="I514" s="2"/>
    </row>
    <row r="515" spans="4:9" x14ac:dyDescent="0.3">
      <c r="D515" s="7"/>
      <c r="G515" s="2">
        <f t="shared" si="13"/>
        <v>0</v>
      </c>
      <c r="H515" s="2"/>
      <c r="I515" s="2"/>
    </row>
    <row r="516" spans="4:9" x14ac:dyDescent="0.3">
      <c r="D516" s="7"/>
      <c r="G516" s="2">
        <f t="shared" si="13"/>
        <v>0</v>
      </c>
      <c r="H516" s="2"/>
      <c r="I516" s="2"/>
    </row>
    <row r="517" spans="4:9" x14ac:dyDescent="0.3">
      <c r="D517" s="7"/>
      <c r="G517" s="2">
        <f t="shared" si="13"/>
        <v>0</v>
      </c>
      <c r="H517" s="2"/>
      <c r="I517" s="2"/>
    </row>
    <row r="518" spans="4:9" x14ac:dyDescent="0.3">
      <c r="D518" s="7"/>
      <c r="G518" s="2">
        <f t="shared" si="13"/>
        <v>0</v>
      </c>
      <c r="H518" s="2"/>
      <c r="I518" s="2"/>
    </row>
    <row r="519" spans="4:9" x14ac:dyDescent="0.3">
      <c r="D519" s="7"/>
      <c r="G519" s="2">
        <f t="shared" si="13"/>
        <v>0</v>
      </c>
      <c r="H519" s="2"/>
      <c r="I519" s="2"/>
    </row>
    <row r="520" spans="4:9" x14ac:dyDescent="0.3">
      <c r="D520" s="7"/>
      <c r="G520" s="2">
        <f t="shared" si="13"/>
        <v>0</v>
      </c>
      <c r="H520" s="2"/>
      <c r="I520" s="2"/>
    </row>
    <row r="521" spans="4:9" x14ac:dyDescent="0.3">
      <c r="D521" s="7"/>
      <c r="G521" s="2">
        <f t="shared" si="13"/>
        <v>0</v>
      </c>
      <c r="H521" s="2"/>
      <c r="I521" s="2"/>
    </row>
    <row r="522" spans="4:9" x14ac:dyDescent="0.3">
      <c r="D522" s="7"/>
      <c r="G522" s="2">
        <f t="shared" si="13"/>
        <v>0</v>
      </c>
      <c r="H522" s="2"/>
      <c r="I522" s="2"/>
    </row>
    <row r="523" spans="4:9" x14ac:dyDescent="0.3">
      <c r="D523" s="7"/>
      <c r="G523" s="2">
        <f t="shared" si="13"/>
        <v>0</v>
      </c>
      <c r="H523" s="2"/>
      <c r="I523" s="2"/>
    </row>
    <row r="524" spans="4:9" x14ac:dyDescent="0.3">
      <c r="D524" s="7"/>
      <c r="G524" s="2">
        <f t="shared" si="13"/>
        <v>0</v>
      </c>
      <c r="H524" s="2"/>
      <c r="I524" s="2"/>
    </row>
    <row r="525" spans="4:9" x14ac:dyDescent="0.3">
      <c r="D525" s="7"/>
      <c r="G525" s="2">
        <f t="shared" si="13"/>
        <v>0</v>
      </c>
      <c r="H525" s="2"/>
      <c r="I525" s="2"/>
    </row>
    <row r="526" spans="4:9" x14ac:dyDescent="0.3">
      <c r="D526" s="7"/>
      <c r="G526" s="2">
        <f t="shared" si="13"/>
        <v>0</v>
      </c>
      <c r="H526" s="2"/>
      <c r="I526" s="2"/>
    </row>
    <row r="527" spans="4:9" x14ac:dyDescent="0.3">
      <c r="D527" s="7"/>
      <c r="G527" s="2">
        <f t="shared" ref="G527:G558" si="15">E527-F527</f>
        <v>0</v>
      </c>
      <c r="H527" s="2"/>
      <c r="I527" s="2"/>
    </row>
    <row r="528" spans="4:9" x14ac:dyDescent="0.3">
      <c r="D528" s="7"/>
      <c r="G528" s="2">
        <f t="shared" si="15"/>
        <v>0</v>
      </c>
      <c r="H528" s="2"/>
      <c r="I528" s="2"/>
    </row>
    <row r="529" spans="4:9" x14ac:dyDescent="0.3">
      <c r="D529" s="7"/>
      <c r="G529" s="2">
        <f t="shared" si="15"/>
        <v>0</v>
      </c>
      <c r="H529" s="2"/>
      <c r="I529" s="2"/>
    </row>
    <row r="530" spans="4:9" x14ac:dyDescent="0.3">
      <c r="D530" s="7"/>
      <c r="G530" s="2">
        <f t="shared" si="15"/>
        <v>0</v>
      </c>
      <c r="H530" s="2"/>
      <c r="I530" s="2"/>
    </row>
    <row r="531" spans="4:9" x14ac:dyDescent="0.3">
      <c r="D531" s="7"/>
      <c r="G531" s="2">
        <f t="shared" si="15"/>
        <v>0</v>
      </c>
      <c r="H531" s="2"/>
      <c r="I531" s="2"/>
    </row>
    <row r="532" spans="4:9" x14ac:dyDescent="0.3">
      <c r="D532" s="7"/>
      <c r="G532" s="2">
        <f t="shared" si="15"/>
        <v>0</v>
      </c>
      <c r="H532" s="2"/>
      <c r="I532" s="2"/>
    </row>
    <row r="533" spans="4:9" x14ac:dyDescent="0.3">
      <c r="D533" s="7"/>
      <c r="G533" s="2">
        <f t="shared" si="15"/>
        <v>0</v>
      </c>
      <c r="H533" s="2"/>
      <c r="I533" s="2"/>
    </row>
    <row r="534" spans="4:9" x14ac:dyDescent="0.3">
      <c r="D534" s="7"/>
      <c r="G534" s="2">
        <f t="shared" si="15"/>
        <v>0</v>
      </c>
      <c r="H534" s="2"/>
      <c r="I534" s="2"/>
    </row>
    <row r="535" spans="4:9" x14ac:dyDescent="0.3">
      <c r="D535" s="7"/>
      <c r="G535" s="2">
        <f t="shared" si="15"/>
        <v>0</v>
      </c>
      <c r="H535" s="2"/>
      <c r="I535" s="2"/>
    </row>
    <row r="536" spans="4:9" x14ac:dyDescent="0.3">
      <c r="D536" s="7"/>
      <c r="G536" s="2">
        <f t="shared" si="15"/>
        <v>0</v>
      </c>
      <c r="H536" s="2"/>
      <c r="I536" s="2"/>
    </row>
    <row r="537" spans="4:9" x14ac:dyDescent="0.3">
      <c r="D537" s="7"/>
      <c r="G537" s="2">
        <f t="shared" si="15"/>
        <v>0</v>
      </c>
      <c r="H537" s="2"/>
      <c r="I537" s="2"/>
    </row>
    <row r="538" spans="4:9" x14ac:dyDescent="0.3">
      <c r="D538" s="7"/>
      <c r="G538" s="2">
        <f t="shared" si="15"/>
        <v>0</v>
      </c>
      <c r="H538" s="2"/>
      <c r="I538" s="2"/>
    </row>
    <row r="539" spans="4:9" x14ac:dyDescent="0.3">
      <c r="D539" s="7"/>
      <c r="G539" s="2">
        <f t="shared" si="15"/>
        <v>0</v>
      </c>
      <c r="H539" s="2"/>
      <c r="I539" s="2"/>
    </row>
    <row r="540" spans="4:9" x14ac:dyDescent="0.3">
      <c r="D540" s="7"/>
      <c r="G540" s="2">
        <f t="shared" si="15"/>
        <v>0</v>
      </c>
      <c r="H540" s="2"/>
      <c r="I540" s="2"/>
    </row>
    <row r="541" spans="4:9" x14ac:dyDescent="0.3">
      <c r="D541" s="7"/>
      <c r="G541" s="2">
        <f t="shared" si="15"/>
        <v>0</v>
      </c>
      <c r="H541" s="2"/>
      <c r="I541" s="2"/>
    </row>
    <row r="542" spans="4:9" x14ac:dyDescent="0.3">
      <c r="D542" s="7"/>
      <c r="G542" s="2">
        <f t="shared" si="15"/>
        <v>0</v>
      </c>
      <c r="H542" s="2"/>
      <c r="I542" s="2"/>
    </row>
    <row r="543" spans="4:9" x14ac:dyDescent="0.3">
      <c r="D543" s="7"/>
      <c r="G543" s="2">
        <f t="shared" si="15"/>
        <v>0</v>
      </c>
      <c r="H543" s="2"/>
      <c r="I543" s="2"/>
    </row>
    <row r="544" spans="4:9" x14ac:dyDescent="0.3">
      <c r="D544" s="7"/>
      <c r="G544" s="2">
        <f t="shared" si="15"/>
        <v>0</v>
      </c>
      <c r="H544" s="2"/>
      <c r="I544" s="2"/>
    </row>
    <row r="545" spans="4:9" x14ac:dyDescent="0.3">
      <c r="D545" s="7"/>
      <c r="G545" s="2">
        <f t="shared" si="15"/>
        <v>0</v>
      </c>
      <c r="H545" s="2"/>
      <c r="I545" s="2"/>
    </row>
    <row r="546" spans="4:9" x14ac:dyDescent="0.3">
      <c r="D546" s="7"/>
      <c r="G546" s="2">
        <f t="shared" si="15"/>
        <v>0</v>
      </c>
      <c r="H546" s="2"/>
      <c r="I546" s="2"/>
    </row>
    <row r="547" spans="4:9" x14ac:dyDescent="0.3">
      <c r="D547" s="7"/>
      <c r="G547" s="2">
        <f t="shared" si="15"/>
        <v>0</v>
      </c>
      <c r="H547" s="2"/>
      <c r="I547" s="2"/>
    </row>
    <row r="548" spans="4:9" x14ac:dyDescent="0.3">
      <c r="D548" s="7"/>
      <c r="G548" s="2">
        <f t="shared" si="15"/>
        <v>0</v>
      </c>
      <c r="H548" s="2"/>
      <c r="I548" s="2"/>
    </row>
    <row r="549" spans="4:9" x14ac:dyDescent="0.3">
      <c r="D549" s="7"/>
      <c r="G549" s="2">
        <f t="shared" si="15"/>
        <v>0</v>
      </c>
      <c r="H549" s="2"/>
      <c r="I549" s="2"/>
    </row>
    <row r="550" spans="4:9" x14ac:dyDescent="0.3">
      <c r="D550" s="7"/>
      <c r="G550" s="2">
        <f t="shared" si="15"/>
        <v>0</v>
      </c>
      <c r="H550" s="2"/>
      <c r="I550" s="2"/>
    </row>
    <row r="551" spans="4:9" x14ac:dyDescent="0.3">
      <c r="D551" s="7"/>
      <c r="G551" s="2">
        <f t="shared" si="15"/>
        <v>0</v>
      </c>
      <c r="H551" s="2"/>
      <c r="I551" s="2"/>
    </row>
    <row r="552" spans="4:9" x14ac:dyDescent="0.3">
      <c r="D552" s="7"/>
      <c r="G552" s="2">
        <f t="shared" si="15"/>
        <v>0</v>
      </c>
      <c r="H552" s="2"/>
      <c r="I552" s="2"/>
    </row>
    <row r="553" spans="4:9" x14ac:dyDescent="0.3">
      <c r="D553" s="7"/>
      <c r="G553" s="2">
        <f t="shared" si="15"/>
        <v>0</v>
      </c>
      <c r="H553" s="2"/>
      <c r="I553" s="2"/>
    </row>
    <row r="554" spans="4:9" x14ac:dyDescent="0.3">
      <c r="D554" s="7"/>
      <c r="G554" s="2">
        <f t="shared" si="15"/>
        <v>0</v>
      </c>
      <c r="H554" s="2"/>
      <c r="I554" s="2"/>
    </row>
    <row r="555" spans="4:9" x14ac:dyDescent="0.3">
      <c r="D555" s="7"/>
      <c r="G555" s="2">
        <f t="shared" si="15"/>
        <v>0</v>
      </c>
      <c r="H555" s="2"/>
      <c r="I555" s="2"/>
    </row>
    <row r="556" spans="4:9" x14ac:dyDescent="0.3">
      <c r="D556" s="7"/>
      <c r="G556" s="2">
        <f t="shared" si="15"/>
        <v>0</v>
      </c>
      <c r="H556" s="2"/>
      <c r="I556" s="2"/>
    </row>
    <row r="557" spans="4:9" x14ac:dyDescent="0.3">
      <c r="D557" s="7"/>
      <c r="G557" s="2">
        <f t="shared" si="15"/>
        <v>0</v>
      </c>
      <c r="H557" s="2"/>
      <c r="I557" s="2"/>
    </row>
    <row r="558" spans="4:9" x14ac:dyDescent="0.3">
      <c r="D558" s="7"/>
      <c r="G558" s="2">
        <f t="shared" si="15"/>
        <v>0</v>
      </c>
      <c r="H558" s="2"/>
      <c r="I558" s="2"/>
    </row>
    <row r="559" spans="4:9" x14ac:dyDescent="0.3">
      <c r="D559" s="7"/>
      <c r="G559" s="2">
        <f t="shared" ref="G559:G590" si="16">E559-F559</f>
        <v>0</v>
      </c>
      <c r="H559" s="2"/>
      <c r="I559" s="2"/>
    </row>
    <row r="560" spans="4:9" x14ac:dyDescent="0.3">
      <c r="D560" s="7"/>
      <c r="G560" s="2">
        <f t="shared" si="16"/>
        <v>0</v>
      </c>
      <c r="H560" s="2"/>
      <c r="I560" s="2"/>
    </row>
    <row r="561" spans="4:9" x14ac:dyDescent="0.3">
      <c r="D561" s="7"/>
      <c r="G561" s="2">
        <f t="shared" si="16"/>
        <v>0</v>
      </c>
      <c r="H561" s="2"/>
      <c r="I561" s="2"/>
    </row>
    <row r="562" spans="4:9" x14ac:dyDescent="0.3">
      <c r="D562" s="7"/>
      <c r="G562" s="2">
        <f t="shared" si="16"/>
        <v>0</v>
      </c>
      <c r="H562" s="2"/>
      <c r="I562" s="2"/>
    </row>
    <row r="563" spans="4:9" x14ac:dyDescent="0.3">
      <c r="D563" s="7"/>
      <c r="G563" s="2">
        <f t="shared" si="16"/>
        <v>0</v>
      </c>
      <c r="H563" s="2"/>
      <c r="I563" s="2"/>
    </row>
    <row r="564" spans="4:9" x14ac:dyDescent="0.3">
      <c r="D564" s="7"/>
      <c r="G564" s="2">
        <f t="shared" si="16"/>
        <v>0</v>
      </c>
      <c r="H564" s="2"/>
      <c r="I564" s="2"/>
    </row>
    <row r="565" spans="4:9" x14ac:dyDescent="0.3">
      <c r="D565" s="7"/>
      <c r="G565" s="2">
        <f t="shared" si="16"/>
        <v>0</v>
      </c>
      <c r="H565" s="2"/>
      <c r="I565" s="2"/>
    </row>
    <row r="566" spans="4:9" x14ac:dyDescent="0.3">
      <c r="D566" s="7"/>
      <c r="G566" s="2">
        <f t="shared" si="16"/>
        <v>0</v>
      </c>
      <c r="H566" s="2"/>
      <c r="I566" s="2"/>
    </row>
    <row r="567" spans="4:9" x14ac:dyDescent="0.3">
      <c r="D567" s="7"/>
      <c r="G567" s="2">
        <f t="shared" si="16"/>
        <v>0</v>
      </c>
      <c r="H567" s="2"/>
      <c r="I567" s="2"/>
    </row>
    <row r="568" spans="4:9" x14ac:dyDescent="0.3">
      <c r="D568" s="7"/>
      <c r="G568" s="2">
        <f t="shared" si="16"/>
        <v>0</v>
      </c>
      <c r="H568" s="2"/>
      <c r="I568" s="2"/>
    </row>
    <row r="569" spans="4:9" x14ac:dyDescent="0.3">
      <c r="D569" s="7"/>
      <c r="G569" s="2">
        <f t="shared" si="16"/>
        <v>0</v>
      </c>
      <c r="H569" s="2"/>
      <c r="I569" s="2"/>
    </row>
    <row r="570" spans="4:9" x14ac:dyDescent="0.3">
      <c r="D570" s="7"/>
      <c r="G570" s="2">
        <f t="shared" si="16"/>
        <v>0</v>
      </c>
      <c r="H570" s="2"/>
      <c r="I570" s="2"/>
    </row>
    <row r="571" spans="4:9" x14ac:dyDescent="0.3">
      <c r="D571" s="7"/>
      <c r="G571" s="2">
        <f t="shared" si="16"/>
        <v>0</v>
      </c>
      <c r="H571" s="2"/>
      <c r="I571" s="2"/>
    </row>
    <row r="572" spans="4:9" x14ac:dyDescent="0.3">
      <c r="D572" s="7"/>
      <c r="G572" s="2">
        <f t="shared" si="16"/>
        <v>0</v>
      </c>
      <c r="H572" s="2"/>
      <c r="I572" s="2"/>
    </row>
    <row r="573" spans="4:9" x14ac:dyDescent="0.3">
      <c r="D573" s="7"/>
      <c r="G573" s="2">
        <f t="shared" si="16"/>
        <v>0</v>
      </c>
      <c r="H573" s="2"/>
      <c r="I573" s="2"/>
    </row>
    <row r="574" spans="4:9" x14ac:dyDescent="0.3">
      <c r="D574" s="7"/>
      <c r="G574" s="2">
        <f t="shared" si="16"/>
        <v>0</v>
      </c>
      <c r="H574" s="2"/>
      <c r="I574" s="2"/>
    </row>
    <row r="575" spans="4:9" x14ac:dyDescent="0.3">
      <c r="D575" s="7"/>
      <c r="G575" s="2">
        <f t="shared" si="16"/>
        <v>0</v>
      </c>
      <c r="H575" s="2"/>
      <c r="I575" s="2"/>
    </row>
    <row r="576" spans="4:9" x14ac:dyDescent="0.3">
      <c r="D576" s="7"/>
      <c r="G576" s="2">
        <f t="shared" si="16"/>
        <v>0</v>
      </c>
      <c r="H576" s="2"/>
      <c r="I576" s="2"/>
    </row>
    <row r="577" spans="4:9" x14ac:dyDescent="0.3">
      <c r="D577" s="7"/>
      <c r="G577" s="2">
        <f t="shared" si="16"/>
        <v>0</v>
      </c>
      <c r="H577" s="2"/>
      <c r="I577" s="2"/>
    </row>
    <row r="578" spans="4:9" x14ac:dyDescent="0.3">
      <c r="D578" s="7"/>
      <c r="G578" s="2">
        <f t="shared" si="16"/>
        <v>0</v>
      </c>
      <c r="H578" s="2"/>
      <c r="I578" s="2"/>
    </row>
    <row r="579" spans="4:9" x14ac:dyDescent="0.3">
      <c r="D579" s="7"/>
      <c r="G579" s="2">
        <f t="shared" si="16"/>
        <v>0</v>
      </c>
      <c r="H579" s="2"/>
      <c r="I579" s="2"/>
    </row>
    <row r="580" spans="4:9" x14ac:dyDescent="0.3">
      <c r="D580" s="7"/>
      <c r="G580" s="2">
        <f t="shared" si="16"/>
        <v>0</v>
      </c>
      <c r="H580" s="2"/>
      <c r="I580" s="2"/>
    </row>
    <row r="581" spans="4:9" x14ac:dyDescent="0.3">
      <c r="D581" s="7"/>
      <c r="G581" s="2">
        <f t="shared" si="16"/>
        <v>0</v>
      </c>
      <c r="H581" s="2"/>
      <c r="I581" s="2"/>
    </row>
    <row r="582" spans="4:9" x14ac:dyDescent="0.3">
      <c r="D582" s="7"/>
      <c r="G582" s="2">
        <f t="shared" si="16"/>
        <v>0</v>
      </c>
      <c r="H582" s="2"/>
      <c r="I582" s="2"/>
    </row>
    <row r="583" spans="4:9" x14ac:dyDescent="0.3">
      <c r="D583" s="7"/>
      <c r="G583" s="2">
        <f t="shared" si="16"/>
        <v>0</v>
      </c>
      <c r="H583" s="2"/>
      <c r="I583" s="2"/>
    </row>
    <row r="584" spans="4:9" x14ac:dyDescent="0.3">
      <c r="D584" s="7"/>
      <c r="G584" s="2">
        <f t="shared" si="16"/>
        <v>0</v>
      </c>
      <c r="H584" s="2"/>
      <c r="I584" s="2"/>
    </row>
    <row r="585" spans="4:9" x14ac:dyDescent="0.3">
      <c r="D585" s="7"/>
      <c r="G585" s="2">
        <f t="shared" si="16"/>
        <v>0</v>
      </c>
      <c r="H585" s="2"/>
      <c r="I585" s="2"/>
    </row>
    <row r="586" spans="4:9" x14ac:dyDescent="0.3">
      <c r="D586" s="7"/>
      <c r="G586" s="2">
        <f t="shared" si="16"/>
        <v>0</v>
      </c>
      <c r="H586" s="2"/>
      <c r="I586" s="2"/>
    </row>
    <row r="587" spans="4:9" x14ac:dyDescent="0.3">
      <c r="D587" s="7"/>
      <c r="G587" s="2">
        <f t="shared" si="16"/>
        <v>0</v>
      </c>
      <c r="H587" s="2"/>
      <c r="I587" s="2"/>
    </row>
    <row r="588" spans="4:9" x14ac:dyDescent="0.3">
      <c r="D588" s="7"/>
      <c r="G588" s="2">
        <f t="shared" si="16"/>
        <v>0</v>
      </c>
      <c r="H588" s="2"/>
      <c r="I588" s="2"/>
    </row>
    <row r="589" spans="4:9" x14ac:dyDescent="0.3">
      <c r="D589" s="7"/>
      <c r="G589" s="2">
        <f t="shared" si="16"/>
        <v>0</v>
      </c>
      <c r="H589" s="2"/>
      <c r="I589" s="2"/>
    </row>
    <row r="590" spans="4:9" x14ac:dyDescent="0.3">
      <c r="D590" s="7"/>
      <c r="G590" s="2">
        <f t="shared" si="16"/>
        <v>0</v>
      </c>
      <c r="H590" s="2"/>
      <c r="I590" s="2"/>
    </row>
    <row r="591" spans="4:9" x14ac:dyDescent="0.3">
      <c r="D591" s="7"/>
      <c r="G591" s="2">
        <f t="shared" ref="G591:G622" si="17">E591-F591</f>
        <v>0</v>
      </c>
      <c r="H591" s="2"/>
      <c r="I591" s="2"/>
    </row>
    <row r="592" spans="4:9" x14ac:dyDescent="0.3">
      <c r="D592" s="7"/>
      <c r="G592" s="2">
        <f t="shared" si="17"/>
        <v>0</v>
      </c>
      <c r="H592" s="2"/>
      <c r="I592" s="2"/>
    </row>
    <row r="593" spans="4:9" x14ac:dyDescent="0.3">
      <c r="D593" s="7"/>
      <c r="G593" s="2">
        <f t="shared" si="17"/>
        <v>0</v>
      </c>
      <c r="H593" s="2"/>
      <c r="I593" s="2"/>
    </row>
    <row r="594" spans="4:9" x14ac:dyDescent="0.3">
      <c r="D594" s="7"/>
      <c r="G594" s="2">
        <f t="shared" si="17"/>
        <v>0</v>
      </c>
      <c r="H594" s="2"/>
      <c r="I594" s="2"/>
    </row>
    <row r="595" spans="4:9" x14ac:dyDescent="0.3">
      <c r="D595" s="7"/>
      <c r="G595" s="2">
        <f t="shared" si="17"/>
        <v>0</v>
      </c>
      <c r="H595" s="2"/>
      <c r="I595" s="2"/>
    </row>
    <row r="596" spans="4:9" x14ac:dyDescent="0.3">
      <c r="D596" s="7"/>
      <c r="G596" s="2">
        <f t="shared" si="17"/>
        <v>0</v>
      </c>
      <c r="H596" s="2"/>
      <c r="I596" s="2"/>
    </row>
    <row r="597" spans="4:9" x14ac:dyDescent="0.3">
      <c r="D597" s="7"/>
      <c r="G597" s="2">
        <f t="shared" si="17"/>
        <v>0</v>
      </c>
      <c r="H597" s="2"/>
      <c r="I597" s="2"/>
    </row>
    <row r="598" spans="4:9" x14ac:dyDescent="0.3">
      <c r="D598" s="7"/>
      <c r="G598" s="2">
        <f t="shared" si="17"/>
        <v>0</v>
      </c>
      <c r="H598" s="2"/>
      <c r="I598" s="2"/>
    </row>
    <row r="599" spans="4:9" x14ac:dyDescent="0.3">
      <c r="D599" s="7"/>
      <c r="G599" s="2">
        <f t="shared" si="17"/>
        <v>0</v>
      </c>
      <c r="H599" s="2"/>
      <c r="I599" s="2"/>
    </row>
    <row r="600" spans="4:9" x14ac:dyDescent="0.3">
      <c r="D600" s="7"/>
      <c r="G600" s="2">
        <f t="shared" si="17"/>
        <v>0</v>
      </c>
      <c r="H600" s="2"/>
      <c r="I600" s="2"/>
    </row>
    <row r="601" spans="4:9" x14ac:dyDescent="0.3">
      <c r="D601" s="7"/>
      <c r="G601" s="2">
        <f t="shared" si="17"/>
        <v>0</v>
      </c>
      <c r="H601" s="2"/>
      <c r="I601" s="2"/>
    </row>
    <row r="602" spans="4:9" x14ac:dyDescent="0.3">
      <c r="D602" s="7"/>
      <c r="G602" s="2">
        <f t="shared" si="17"/>
        <v>0</v>
      </c>
      <c r="H602" s="2"/>
      <c r="I602" s="2"/>
    </row>
    <row r="603" spans="4:9" x14ac:dyDescent="0.3">
      <c r="D603" s="7"/>
      <c r="G603" s="2">
        <f t="shared" si="17"/>
        <v>0</v>
      </c>
      <c r="H603" s="2"/>
      <c r="I603" s="2"/>
    </row>
    <row r="604" spans="4:9" x14ac:dyDescent="0.3">
      <c r="D604" s="7"/>
      <c r="G604" s="2">
        <f t="shared" si="17"/>
        <v>0</v>
      </c>
      <c r="H604" s="2"/>
      <c r="I604" s="2"/>
    </row>
    <row r="605" spans="4:9" x14ac:dyDescent="0.3">
      <c r="D605" s="7"/>
      <c r="G605" s="2">
        <f t="shared" si="17"/>
        <v>0</v>
      </c>
      <c r="H605" s="2"/>
      <c r="I605" s="2"/>
    </row>
    <row r="606" spans="4:9" x14ac:dyDescent="0.3">
      <c r="D606" s="7"/>
      <c r="G606" s="2">
        <f t="shared" si="17"/>
        <v>0</v>
      </c>
      <c r="H606" s="2"/>
      <c r="I606" s="2"/>
    </row>
    <row r="607" spans="4:9" x14ac:dyDescent="0.3">
      <c r="D607" s="7"/>
      <c r="G607" s="2">
        <f t="shared" si="17"/>
        <v>0</v>
      </c>
      <c r="H607" s="2"/>
      <c r="I607" s="2"/>
    </row>
    <row r="608" spans="4:9" x14ac:dyDescent="0.3">
      <c r="D608" s="7"/>
      <c r="G608" s="2">
        <f t="shared" si="17"/>
        <v>0</v>
      </c>
      <c r="H608" s="2"/>
      <c r="I608" s="2"/>
    </row>
    <row r="609" spans="4:9" x14ac:dyDescent="0.3">
      <c r="D609" s="7"/>
      <c r="G609" s="2">
        <f t="shared" si="17"/>
        <v>0</v>
      </c>
      <c r="H609" s="2"/>
      <c r="I609" s="2"/>
    </row>
    <row r="610" spans="4:9" x14ac:dyDescent="0.3">
      <c r="D610" s="7"/>
      <c r="G610" s="2">
        <f t="shared" si="17"/>
        <v>0</v>
      </c>
      <c r="H610" s="2"/>
      <c r="I610" s="2"/>
    </row>
    <row r="611" spans="4:9" x14ac:dyDescent="0.3">
      <c r="D611" s="7"/>
      <c r="G611" s="2">
        <f t="shared" si="17"/>
        <v>0</v>
      </c>
      <c r="H611" s="2"/>
      <c r="I611" s="2"/>
    </row>
    <row r="612" spans="4:9" x14ac:dyDescent="0.3">
      <c r="D612" s="7"/>
      <c r="G612" s="2">
        <f t="shared" si="17"/>
        <v>0</v>
      </c>
      <c r="H612" s="2"/>
      <c r="I612" s="2"/>
    </row>
    <row r="613" spans="4:9" x14ac:dyDescent="0.3">
      <c r="D613" s="7"/>
      <c r="G613" s="2">
        <f t="shared" si="17"/>
        <v>0</v>
      </c>
      <c r="H613" s="2"/>
      <c r="I613" s="2"/>
    </row>
    <row r="614" spans="4:9" x14ac:dyDescent="0.3">
      <c r="D614" s="7"/>
      <c r="G614" s="2">
        <f t="shared" si="17"/>
        <v>0</v>
      </c>
      <c r="H614" s="2"/>
      <c r="I614" s="2"/>
    </row>
    <row r="615" spans="4:9" x14ac:dyDescent="0.3">
      <c r="D615" s="7"/>
      <c r="G615" s="2">
        <f t="shared" si="17"/>
        <v>0</v>
      </c>
      <c r="H615" s="2"/>
      <c r="I615" s="2"/>
    </row>
    <row r="616" spans="4:9" x14ac:dyDescent="0.3">
      <c r="D616" s="7"/>
      <c r="G616" s="2">
        <f t="shared" si="17"/>
        <v>0</v>
      </c>
      <c r="H616" s="2"/>
      <c r="I616" s="2"/>
    </row>
    <row r="617" spans="4:9" x14ac:dyDescent="0.3">
      <c r="D617" s="7"/>
      <c r="G617" s="2">
        <f t="shared" si="17"/>
        <v>0</v>
      </c>
      <c r="H617" s="2"/>
      <c r="I617" s="2"/>
    </row>
    <row r="618" spans="4:9" x14ac:dyDescent="0.3">
      <c r="D618" s="7"/>
      <c r="G618" s="2">
        <f t="shared" si="17"/>
        <v>0</v>
      </c>
      <c r="H618" s="2"/>
      <c r="I618" s="2"/>
    </row>
    <row r="619" spans="4:9" x14ac:dyDescent="0.3">
      <c r="D619" s="7"/>
      <c r="G619" s="2">
        <f t="shared" si="17"/>
        <v>0</v>
      </c>
      <c r="H619" s="2"/>
      <c r="I619" s="2"/>
    </row>
    <row r="620" spans="4:9" x14ac:dyDescent="0.3">
      <c r="D620" s="7"/>
      <c r="G620" s="2">
        <f t="shared" si="17"/>
        <v>0</v>
      </c>
      <c r="H620" s="2"/>
      <c r="I620" s="2"/>
    </row>
    <row r="621" spans="4:9" x14ac:dyDescent="0.3">
      <c r="D621" s="7"/>
      <c r="G621" s="2">
        <f t="shared" si="17"/>
        <v>0</v>
      </c>
      <c r="H621" s="2"/>
      <c r="I621" s="2"/>
    </row>
    <row r="622" spans="4:9" x14ac:dyDescent="0.3">
      <c r="D622" s="7"/>
      <c r="G622" s="2">
        <f t="shared" si="17"/>
        <v>0</v>
      </c>
      <c r="H622" s="2"/>
      <c r="I622" s="2"/>
    </row>
    <row r="623" spans="4:9" x14ac:dyDescent="0.3">
      <c r="D623" s="7"/>
      <c r="G623" s="2">
        <f t="shared" ref="G623:G654" si="18">E623-F623</f>
        <v>0</v>
      </c>
      <c r="H623" s="2"/>
      <c r="I623" s="2"/>
    </row>
    <row r="624" spans="4:9" x14ac:dyDescent="0.3">
      <c r="D624" s="7"/>
      <c r="G624" s="2">
        <f t="shared" si="18"/>
        <v>0</v>
      </c>
      <c r="H624" s="2"/>
      <c r="I624" s="2"/>
    </row>
    <row r="625" spans="4:9" x14ac:dyDescent="0.3">
      <c r="D625" s="7"/>
      <c r="G625" s="2">
        <f t="shared" si="18"/>
        <v>0</v>
      </c>
      <c r="H625" s="2"/>
      <c r="I625" s="2"/>
    </row>
    <row r="626" spans="4:9" x14ac:dyDescent="0.3">
      <c r="D626" s="7"/>
      <c r="G626" s="2">
        <f t="shared" si="18"/>
        <v>0</v>
      </c>
      <c r="H626" s="2"/>
      <c r="I626" s="2"/>
    </row>
    <row r="627" spans="4:9" x14ac:dyDescent="0.3">
      <c r="D627" s="7"/>
      <c r="G627" s="2">
        <f t="shared" si="18"/>
        <v>0</v>
      </c>
      <c r="H627" s="2"/>
      <c r="I627" s="2"/>
    </row>
    <row r="628" spans="4:9" x14ac:dyDescent="0.3">
      <c r="D628" s="7"/>
      <c r="G628" s="2">
        <f t="shared" si="18"/>
        <v>0</v>
      </c>
      <c r="H628" s="2"/>
      <c r="I628" s="2"/>
    </row>
    <row r="629" spans="4:9" x14ac:dyDescent="0.3">
      <c r="D629" s="7"/>
      <c r="G629" s="2">
        <f t="shared" si="18"/>
        <v>0</v>
      </c>
      <c r="H629" s="2"/>
      <c r="I629" s="2"/>
    </row>
    <row r="630" spans="4:9" x14ac:dyDescent="0.3">
      <c r="D630" s="7"/>
      <c r="G630" s="2">
        <f t="shared" si="18"/>
        <v>0</v>
      </c>
      <c r="H630" s="2"/>
      <c r="I630" s="2"/>
    </row>
    <row r="631" spans="4:9" x14ac:dyDescent="0.3">
      <c r="D631" s="7"/>
      <c r="G631" s="2">
        <f t="shared" si="18"/>
        <v>0</v>
      </c>
      <c r="H631" s="2"/>
      <c r="I631" s="2"/>
    </row>
    <row r="632" spans="4:9" x14ac:dyDescent="0.3">
      <c r="D632" s="7"/>
      <c r="G632" s="2">
        <f t="shared" si="18"/>
        <v>0</v>
      </c>
      <c r="H632" s="2"/>
      <c r="I632" s="2"/>
    </row>
    <row r="633" spans="4:9" x14ac:dyDescent="0.3">
      <c r="D633" s="7"/>
      <c r="G633" s="2">
        <f t="shared" si="18"/>
        <v>0</v>
      </c>
      <c r="H633" s="2"/>
      <c r="I633" s="2"/>
    </row>
    <row r="634" spans="4:9" x14ac:dyDescent="0.3">
      <c r="D634" s="7"/>
      <c r="G634" s="2">
        <f t="shared" si="18"/>
        <v>0</v>
      </c>
      <c r="H634" s="2"/>
      <c r="I634" s="2"/>
    </row>
    <row r="635" spans="4:9" x14ac:dyDescent="0.3">
      <c r="D635" s="7"/>
      <c r="G635" s="2">
        <f t="shared" si="18"/>
        <v>0</v>
      </c>
      <c r="H635" s="2"/>
      <c r="I635" s="2"/>
    </row>
    <row r="636" spans="4:9" x14ac:dyDescent="0.3">
      <c r="D636" s="7"/>
      <c r="G636" s="2">
        <f t="shared" si="18"/>
        <v>0</v>
      </c>
      <c r="H636" s="2"/>
      <c r="I636" s="2"/>
    </row>
    <row r="637" spans="4:9" x14ac:dyDescent="0.3">
      <c r="D637" s="7"/>
      <c r="G637" s="2">
        <f t="shared" si="18"/>
        <v>0</v>
      </c>
      <c r="H637" s="2"/>
      <c r="I637" s="2"/>
    </row>
    <row r="638" spans="4:9" x14ac:dyDescent="0.3">
      <c r="D638" s="7"/>
      <c r="G638" s="2">
        <f t="shared" si="18"/>
        <v>0</v>
      </c>
      <c r="H638" s="2"/>
      <c r="I638" s="2"/>
    </row>
    <row r="639" spans="4:9" x14ac:dyDescent="0.3">
      <c r="D639" s="7"/>
      <c r="G639" s="2">
        <f t="shared" si="18"/>
        <v>0</v>
      </c>
      <c r="H639" s="2"/>
      <c r="I639" s="2"/>
    </row>
    <row r="640" spans="4:9" x14ac:dyDescent="0.3">
      <c r="D640" s="7"/>
      <c r="G640" s="2">
        <f t="shared" si="18"/>
        <v>0</v>
      </c>
      <c r="H640" s="2"/>
      <c r="I640" s="2"/>
    </row>
    <row r="641" spans="4:9" x14ac:dyDescent="0.3">
      <c r="D641" s="7"/>
      <c r="G641" s="2">
        <f t="shared" si="18"/>
        <v>0</v>
      </c>
      <c r="H641" s="2"/>
      <c r="I641" s="2"/>
    </row>
    <row r="642" spans="4:9" x14ac:dyDescent="0.3">
      <c r="D642" s="7"/>
      <c r="G642" s="2">
        <f t="shared" si="18"/>
        <v>0</v>
      </c>
      <c r="H642" s="2"/>
      <c r="I642" s="2"/>
    </row>
    <row r="643" spans="4:9" x14ac:dyDescent="0.3">
      <c r="D643" s="7"/>
      <c r="G643" s="2">
        <f t="shared" si="18"/>
        <v>0</v>
      </c>
      <c r="H643" s="2"/>
      <c r="I643" s="2"/>
    </row>
    <row r="644" spans="4:9" x14ac:dyDescent="0.3">
      <c r="D644" s="7"/>
      <c r="G644" s="2">
        <f t="shared" si="18"/>
        <v>0</v>
      </c>
      <c r="H644" s="2"/>
      <c r="I644" s="2"/>
    </row>
    <row r="645" spans="4:9" x14ac:dyDescent="0.3">
      <c r="D645" s="7"/>
      <c r="G645" s="2">
        <f t="shared" si="18"/>
        <v>0</v>
      </c>
      <c r="H645" s="2"/>
      <c r="I645" s="2"/>
    </row>
    <row r="646" spans="4:9" x14ac:dyDescent="0.3">
      <c r="D646" s="7"/>
      <c r="G646" s="2">
        <f t="shared" si="18"/>
        <v>0</v>
      </c>
      <c r="H646" s="2"/>
      <c r="I646" s="2"/>
    </row>
    <row r="647" spans="4:9" x14ac:dyDescent="0.3">
      <c r="D647" s="7"/>
      <c r="G647" s="2">
        <f t="shared" si="18"/>
        <v>0</v>
      </c>
      <c r="H647" s="2"/>
      <c r="I647" s="2"/>
    </row>
    <row r="648" spans="4:9" x14ac:dyDescent="0.3">
      <c r="D648" s="7"/>
      <c r="G648" s="2">
        <f t="shared" si="18"/>
        <v>0</v>
      </c>
      <c r="H648" s="2"/>
      <c r="I648" s="2"/>
    </row>
    <row r="649" spans="4:9" x14ac:dyDescent="0.3">
      <c r="D649" s="7"/>
      <c r="G649" s="2">
        <f t="shared" si="18"/>
        <v>0</v>
      </c>
      <c r="H649" s="2"/>
      <c r="I649" s="2"/>
    </row>
    <row r="650" spans="4:9" x14ac:dyDescent="0.3">
      <c r="D650" s="7"/>
      <c r="G650" s="2">
        <f t="shared" si="18"/>
        <v>0</v>
      </c>
      <c r="H650" s="2"/>
      <c r="I650" s="2"/>
    </row>
    <row r="651" spans="4:9" x14ac:dyDescent="0.3">
      <c r="D651" s="7"/>
      <c r="G651" s="2">
        <f t="shared" si="18"/>
        <v>0</v>
      </c>
      <c r="H651" s="2"/>
      <c r="I651" s="2"/>
    </row>
    <row r="652" spans="4:9" x14ac:dyDescent="0.3">
      <c r="D652" s="7"/>
      <c r="G652" s="2">
        <f t="shared" si="18"/>
        <v>0</v>
      </c>
      <c r="H652" s="2"/>
      <c r="I652" s="2"/>
    </row>
    <row r="653" spans="4:9" x14ac:dyDescent="0.3">
      <c r="D653" s="7"/>
      <c r="G653" s="2">
        <f t="shared" si="18"/>
        <v>0</v>
      </c>
      <c r="H653" s="2"/>
      <c r="I653" s="2"/>
    </row>
    <row r="654" spans="4:9" x14ac:dyDescent="0.3">
      <c r="D654" s="7"/>
      <c r="G654" s="2">
        <f t="shared" si="18"/>
        <v>0</v>
      </c>
      <c r="H654" s="2"/>
      <c r="I654" s="2"/>
    </row>
    <row r="655" spans="4:9" x14ac:dyDescent="0.3">
      <c r="D655" s="7"/>
      <c r="G655" s="2">
        <f t="shared" ref="G655:G686" si="19">E655-F655</f>
        <v>0</v>
      </c>
      <c r="H655" s="2"/>
      <c r="I655" s="2"/>
    </row>
    <row r="656" spans="4:9" x14ac:dyDescent="0.3">
      <c r="D656" s="7"/>
      <c r="G656" s="2">
        <f t="shared" si="19"/>
        <v>0</v>
      </c>
      <c r="H656" s="2"/>
      <c r="I656" s="2"/>
    </row>
    <row r="657" spans="4:9" x14ac:dyDescent="0.3">
      <c r="D657" s="7"/>
      <c r="G657" s="2">
        <f t="shared" si="19"/>
        <v>0</v>
      </c>
      <c r="H657" s="2"/>
      <c r="I657" s="2"/>
    </row>
    <row r="658" spans="4:9" x14ac:dyDescent="0.3">
      <c r="D658" s="7"/>
      <c r="G658" s="2">
        <f t="shared" si="19"/>
        <v>0</v>
      </c>
      <c r="H658" s="2"/>
      <c r="I658" s="2"/>
    </row>
    <row r="659" spans="4:9" x14ac:dyDescent="0.3">
      <c r="D659" s="7"/>
      <c r="G659" s="2">
        <f t="shared" si="19"/>
        <v>0</v>
      </c>
      <c r="H659" s="2"/>
      <c r="I659" s="2"/>
    </row>
    <row r="660" spans="4:9" x14ac:dyDescent="0.3">
      <c r="D660" s="7"/>
      <c r="G660" s="2">
        <f t="shared" si="19"/>
        <v>0</v>
      </c>
      <c r="H660" s="2"/>
      <c r="I660" s="2"/>
    </row>
    <row r="661" spans="4:9" x14ac:dyDescent="0.3">
      <c r="D661" s="7"/>
      <c r="G661" s="2">
        <f t="shared" si="19"/>
        <v>0</v>
      </c>
      <c r="H661" s="2"/>
      <c r="I661" s="2"/>
    </row>
    <row r="662" spans="4:9" x14ac:dyDescent="0.3">
      <c r="D662" s="7"/>
      <c r="G662" s="2">
        <f t="shared" si="19"/>
        <v>0</v>
      </c>
      <c r="H662" s="2"/>
      <c r="I662" s="2"/>
    </row>
    <row r="663" spans="4:9" x14ac:dyDescent="0.3">
      <c r="D663" s="7"/>
      <c r="G663" s="2">
        <f t="shared" si="19"/>
        <v>0</v>
      </c>
      <c r="H663" s="2"/>
      <c r="I663" s="2"/>
    </row>
    <row r="664" spans="4:9" x14ac:dyDescent="0.3">
      <c r="D664" s="7"/>
      <c r="G664" s="2">
        <f t="shared" si="19"/>
        <v>0</v>
      </c>
      <c r="H664" s="2"/>
      <c r="I664" s="2"/>
    </row>
    <row r="665" spans="4:9" x14ac:dyDescent="0.3">
      <c r="D665" s="7"/>
      <c r="G665" s="2">
        <f t="shared" si="19"/>
        <v>0</v>
      </c>
      <c r="H665" s="2"/>
      <c r="I665" s="2"/>
    </row>
    <row r="666" spans="4:9" x14ac:dyDescent="0.3">
      <c r="D666" s="7"/>
      <c r="G666" s="2">
        <f t="shared" si="19"/>
        <v>0</v>
      </c>
      <c r="H666" s="2"/>
      <c r="I666" s="2"/>
    </row>
    <row r="667" spans="4:9" x14ac:dyDescent="0.3">
      <c r="D667" s="7"/>
      <c r="G667" s="2">
        <f t="shared" si="19"/>
        <v>0</v>
      </c>
      <c r="H667" s="2"/>
      <c r="I667" s="2"/>
    </row>
    <row r="668" spans="4:9" x14ac:dyDescent="0.3">
      <c r="D668" s="7"/>
      <c r="G668" s="2">
        <f t="shared" si="19"/>
        <v>0</v>
      </c>
      <c r="H668" s="2"/>
      <c r="I668" s="2"/>
    </row>
    <row r="669" spans="4:9" x14ac:dyDescent="0.3">
      <c r="D669" s="7"/>
      <c r="G669" s="2">
        <f t="shared" si="19"/>
        <v>0</v>
      </c>
      <c r="H669" s="2"/>
      <c r="I669" s="2"/>
    </row>
    <row r="670" spans="4:9" x14ac:dyDescent="0.3">
      <c r="D670" s="7"/>
      <c r="G670" s="2">
        <f t="shared" si="19"/>
        <v>0</v>
      </c>
      <c r="H670" s="2"/>
      <c r="I670" s="2"/>
    </row>
    <row r="671" spans="4:9" x14ac:dyDescent="0.3">
      <c r="D671" s="7"/>
      <c r="G671" s="2">
        <f t="shared" si="19"/>
        <v>0</v>
      </c>
      <c r="H671" s="2"/>
      <c r="I671" s="2"/>
    </row>
    <row r="672" spans="4:9" x14ac:dyDescent="0.3">
      <c r="D672" s="7"/>
      <c r="G672" s="2">
        <f t="shared" si="19"/>
        <v>0</v>
      </c>
      <c r="H672" s="2"/>
      <c r="I672" s="2"/>
    </row>
    <row r="673" spans="4:9" x14ac:dyDescent="0.3">
      <c r="D673" s="7"/>
      <c r="G673" s="2">
        <f t="shared" si="19"/>
        <v>0</v>
      </c>
      <c r="H673" s="2"/>
      <c r="I673" s="2"/>
    </row>
    <row r="674" spans="4:9" x14ac:dyDescent="0.3">
      <c r="D674" s="7"/>
      <c r="G674" s="2">
        <f t="shared" si="19"/>
        <v>0</v>
      </c>
      <c r="H674" s="2"/>
      <c r="I674" s="2"/>
    </row>
    <row r="675" spans="4:9" x14ac:dyDescent="0.3">
      <c r="D675" s="7"/>
      <c r="G675" s="2">
        <f t="shared" si="19"/>
        <v>0</v>
      </c>
      <c r="H675" s="2"/>
      <c r="I675" s="2"/>
    </row>
    <row r="676" spans="4:9" x14ac:dyDescent="0.3">
      <c r="D676" s="7"/>
      <c r="G676" s="2">
        <f t="shared" si="19"/>
        <v>0</v>
      </c>
      <c r="H676" s="2"/>
      <c r="I676" s="2"/>
    </row>
    <row r="677" spans="4:9" x14ac:dyDescent="0.3">
      <c r="D677" s="7"/>
      <c r="G677" s="2">
        <f t="shared" si="19"/>
        <v>0</v>
      </c>
      <c r="H677" s="2"/>
      <c r="I677" s="2"/>
    </row>
    <row r="678" spans="4:9" x14ac:dyDescent="0.3">
      <c r="D678" s="7"/>
      <c r="G678" s="2">
        <f t="shared" si="19"/>
        <v>0</v>
      </c>
      <c r="H678" s="2"/>
      <c r="I678" s="2"/>
    </row>
    <row r="679" spans="4:9" x14ac:dyDescent="0.3">
      <c r="D679" s="7"/>
      <c r="G679" s="2">
        <f t="shared" si="19"/>
        <v>0</v>
      </c>
      <c r="H679" s="2"/>
      <c r="I679" s="2"/>
    </row>
    <row r="680" spans="4:9" x14ac:dyDescent="0.3">
      <c r="D680" s="7"/>
      <c r="G680" s="2">
        <f t="shared" si="19"/>
        <v>0</v>
      </c>
      <c r="H680" s="2"/>
      <c r="I680" s="2"/>
    </row>
    <row r="681" spans="4:9" x14ac:dyDescent="0.3">
      <c r="D681" s="7"/>
      <c r="G681" s="2">
        <f t="shared" si="19"/>
        <v>0</v>
      </c>
      <c r="H681" s="2"/>
      <c r="I681" s="2"/>
    </row>
    <row r="682" spans="4:9" x14ac:dyDescent="0.3">
      <c r="D682" s="7"/>
      <c r="G682" s="2">
        <f t="shared" si="19"/>
        <v>0</v>
      </c>
      <c r="H682" s="2"/>
      <c r="I682" s="2"/>
    </row>
    <row r="683" spans="4:9" x14ac:dyDescent="0.3">
      <c r="D683" s="7"/>
      <c r="G683" s="2">
        <f t="shared" si="19"/>
        <v>0</v>
      </c>
      <c r="H683" s="2"/>
      <c r="I683" s="2"/>
    </row>
    <row r="684" spans="4:9" x14ac:dyDescent="0.3">
      <c r="D684" s="7"/>
      <c r="G684" s="2">
        <f t="shared" si="19"/>
        <v>0</v>
      </c>
      <c r="H684" s="2"/>
      <c r="I684" s="2"/>
    </row>
    <row r="685" spans="4:9" x14ac:dyDescent="0.3">
      <c r="D685" s="7"/>
      <c r="G685" s="2">
        <f t="shared" si="19"/>
        <v>0</v>
      </c>
      <c r="H685" s="2"/>
      <c r="I685" s="2"/>
    </row>
    <row r="686" spans="4:9" x14ac:dyDescent="0.3">
      <c r="D686" s="7"/>
      <c r="G686" s="2">
        <f t="shared" si="19"/>
        <v>0</v>
      </c>
      <c r="H686" s="2"/>
      <c r="I686" s="2"/>
    </row>
    <row r="687" spans="4:9" x14ac:dyDescent="0.3">
      <c r="D687" s="7"/>
      <c r="G687" s="2">
        <f t="shared" ref="G687:G718" si="20">E687-F687</f>
        <v>0</v>
      </c>
      <c r="H687" s="2"/>
      <c r="I687" s="2"/>
    </row>
    <row r="688" spans="4:9" x14ac:dyDescent="0.3">
      <c r="D688" s="7"/>
      <c r="G688" s="2">
        <f t="shared" si="20"/>
        <v>0</v>
      </c>
      <c r="H688" s="2"/>
      <c r="I688" s="2"/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8E2FF-250D-422C-8D28-AFB4DB55423F}">
  <dimension ref="A1:B14"/>
  <sheetViews>
    <sheetView workbookViewId="0">
      <selection activeCell="P21" sqref="P21"/>
    </sheetView>
  </sheetViews>
  <sheetFormatPr defaultRowHeight="14.4" x14ac:dyDescent="0.3"/>
  <cols>
    <col min="1" max="1" width="14.77734375" bestFit="1" customWidth="1"/>
    <col min="2" max="2" width="12.77734375" bestFit="1" customWidth="1"/>
  </cols>
  <sheetData>
    <row r="1" spans="1:2" x14ac:dyDescent="0.3">
      <c r="A1" s="11" t="s">
        <v>267</v>
      </c>
      <c r="B1" t="s">
        <v>269</v>
      </c>
    </row>
    <row r="2" spans="1:2" x14ac:dyDescent="0.3">
      <c r="A2" s="8" t="s">
        <v>755</v>
      </c>
    </row>
    <row r="3" spans="1:2" x14ac:dyDescent="0.3">
      <c r="A3" s="8" t="s">
        <v>422</v>
      </c>
      <c r="B3">
        <v>496875</v>
      </c>
    </row>
    <row r="4" spans="1:2" x14ac:dyDescent="0.3">
      <c r="A4" s="8" t="s">
        <v>423</v>
      </c>
      <c r="B4">
        <v>259620</v>
      </c>
    </row>
    <row r="5" spans="1:2" x14ac:dyDescent="0.3">
      <c r="A5" s="8" t="s">
        <v>424</v>
      </c>
      <c r="B5">
        <v>517750</v>
      </c>
    </row>
    <row r="6" spans="1:2" x14ac:dyDescent="0.3">
      <c r="A6" s="8" t="s">
        <v>425</v>
      </c>
      <c r="B6">
        <v>192300</v>
      </c>
    </row>
    <row r="7" spans="1:2" x14ac:dyDescent="0.3">
      <c r="A7" s="8" t="s">
        <v>460</v>
      </c>
      <c r="B7">
        <v>892650</v>
      </c>
    </row>
    <row r="8" spans="1:2" x14ac:dyDescent="0.3">
      <c r="A8" s="8" t="s">
        <v>756</v>
      </c>
      <c r="B8">
        <v>50100</v>
      </c>
    </row>
    <row r="9" spans="1:2" x14ac:dyDescent="0.3">
      <c r="A9" s="8" t="s">
        <v>757</v>
      </c>
      <c r="B9">
        <v>281600</v>
      </c>
    </row>
    <row r="10" spans="1:2" x14ac:dyDescent="0.3">
      <c r="A10" s="8" t="s">
        <v>758</v>
      </c>
      <c r="B10">
        <v>324550</v>
      </c>
    </row>
    <row r="11" spans="1:2" x14ac:dyDescent="0.3">
      <c r="A11" s="8" t="s">
        <v>759</v>
      </c>
      <c r="B11">
        <v>308800</v>
      </c>
    </row>
    <row r="12" spans="1:2" x14ac:dyDescent="0.3">
      <c r="A12" s="8" t="s">
        <v>760</v>
      </c>
      <c r="B12">
        <v>7000</v>
      </c>
    </row>
    <row r="13" spans="1:2" x14ac:dyDescent="0.3">
      <c r="A13" s="8" t="s">
        <v>426</v>
      </c>
      <c r="B13">
        <v>331250</v>
      </c>
    </row>
    <row r="14" spans="1:2" x14ac:dyDescent="0.3">
      <c r="A14" s="8" t="s">
        <v>268</v>
      </c>
      <c r="B14">
        <v>3662495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9ED8E-E29E-4D94-9573-2EAB59EF58C9}">
  <dimension ref="A1:B157"/>
  <sheetViews>
    <sheetView topLeftCell="A130" workbookViewId="0">
      <selection activeCell="B32" sqref="B32"/>
    </sheetView>
  </sheetViews>
  <sheetFormatPr defaultRowHeight="14.4" x14ac:dyDescent="0.3"/>
  <cols>
    <col min="1" max="1" width="22.109375" bestFit="1" customWidth="1"/>
    <col min="2" max="2" width="12.88671875" bestFit="1" customWidth="1"/>
  </cols>
  <sheetData>
    <row r="1" spans="1:2" x14ac:dyDescent="0.3">
      <c r="A1" s="11" t="s">
        <v>267</v>
      </c>
      <c r="B1" t="s">
        <v>271</v>
      </c>
    </row>
    <row r="2" spans="1:2" x14ac:dyDescent="0.3">
      <c r="A2" s="8" t="s">
        <v>177</v>
      </c>
      <c r="B2">
        <v>0</v>
      </c>
    </row>
    <row r="3" spans="1:2" x14ac:dyDescent="0.3">
      <c r="A3" s="8" t="s">
        <v>67</v>
      </c>
      <c r="B3">
        <v>0</v>
      </c>
    </row>
    <row r="4" spans="1:2" x14ac:dyDescent="0.3">
      <c r="A4" s="8" t="s">
        <v>234</v>
      </c>
      <c r="B4">
        <v>6000</v>
      </c>
    </row>
    <row r="5" spans="1:2" x14ac:dyDescent="0.3">
      <c r="A5" s="8" t="s">
        <v>92</v>
      </c>
      <c r="B5">
        <v>0</v>
      </c>
    </row>
    <row r="6" spans="1:2" x14ac:dyDescent="0.3">
      <c r="A6" s="8" t="s">
        <v>20</v>
      </c>
      <c r="B6">
        <v>27000</v>
      </c>
    </row>
    <row r="7" spans="1:2" x14ac:dyDescent="0.3">
      <c r="A7" s="8" t="s">
        <v>146</v>
      </c>
      <c r="B7">
        <v>5000</v>
      </c>
    </row>
    <row r="8" spans="1:2" x14ac:dyDescent="0.3">
      <c r="A8" s="8" t="s">
        <v>29</v>
      </c>
      <c r="B8">
        <v>0</v>
      </c>
    </row>
    <row r="9" spans="1:2" x14ac:dyDescent="0.3">
      <c r="A9" s="8" t="s">
        <v>172</v>
      </c>
      <c r="B9">
        <v>0</v>
      </c>
    </row>
    <row r="10" spans="1:2" x14ac:dyDescent="0.3">
      <c r="A10" s="8" t="s">
        <v>171</v>
      </c>
      <c r="B10">
        <v>1000</v>
      </c>
    </row>
    <row r="11" spans="1:2" x14ac:dyDescent="0.3">
      <c r="A11" s="8" t="s">
        <v>42</v>
      </c>
      <c r="B11">
        <v>0</v>
      </c>
    </row>
    <row r="12" spans="1:2" x14ac:dyDescent="0.3">
      <c r="A12" s="8" t="s">
        <v>8</v>
      </c>
      <c r="B12">
        <v>13500</v>
      </c>
    </row>
    <row r="13" spans="1:2" x14ac:dyDescent="0.3">
      <c r="A13" s="8" t="s">
        <v>116</v>
      </c>
      <c r="B13">
        <v>0</v>
      </c>
    </row>
    <row r="14" spans="1:2" x14ac:dyDescent="0.3">
      <c r="A14" s="8" t="s">
        <v>91</v>
      </c>
      <c r="B14">
        <v>0</v>
      </c>
    </row>
    <row r="15" spans="1:2" x14ac:dyDescent="0.3">
      <c r="A15" s="8" t="s">
        <v>215</v>
      </c>
      <c r="B15">
        <v>0</v>
      </c>
    </row>
    <row r="16" spans="1:2" x14ac:dyDescent="0.3">
      <c r="A16" s="8" t="s">
        <v>179</v>
      </c>
      <c r="B16">
        <v>0</v>
      </c>
    </row>
    <row r="17" spans="1:2" x14ac:dyDescent="0.3">
      <c r="A17" s="8" t="s">
        <v>31</v>
      </c>
      <c r="B17">
        <v>0</v>
      </c>
    </row>
    <row r="18" spans="1:2" x14ac:dyDescent="0.3">
      <c r="A18" s="8" t="s">
        <v>64</v>
      </c>
      <c r="B18">
        <v>0</v>
      </c>
    </row>
    <row r="19" spans="1:2" x14ac:dyDescent="0.3">
      <c r="A19" s="8" t="s">
        <v>110</v>
      </c>
      <c r="B19">
        <v>0</v>
      </c>
    </row>
    <row r="20" spans="1:2" x14ac:dyDescent="0.3">
      <c r="A20" s="8" t="s">
        <v>153</v>
      </c>
      <c r="B20">
        <v>0</v>
      </c>
    </row>
    <row r="21" spans="1:2" x14ac:dyDescent="0.3">
      <c r="A21" s="8" t="s">
        <v>248</v>
      </c>
      <c r="B21">
        <v>0</v>
      </c>
    </row>
    <row r="22" spans="1:2" x14ac:dyDescent="0.3">
      <c r="A22" s="8" t="s">
        <v>205</v>
      </c>
      <c r="B22">
        <v>0</v>
      </c>
    </row>
    <row r="23" spans="1:2" x14ac:dyDescent="0.3">
      <c r="A23" s="8" t="s">
        <v>228</v>
      </c>
      <c r="B23">
        <v>0</v>
      </c>
    </row>
    <row r="24" spans="1:2" x14ac:dyDescent="0.3">
      <c r="A24" s="8" t="s">
        <v>38</v>
      </c>
      <c r="B24">
        <v>0</v>
      </c>
    </row>
    <row r="25" spans="1:2" x14ac:dyDescent="0.3">
      <c r="A25" s="8" t="s">
        <v>100</v>
      </c>
      <c r="B25">
        <v>2000</v>
      </c>
    </row>
    <row r="26" spans="1:2" x14ac:dyDescent="0.3">
      <c r="A26" s="8" t="s">
        <v>49</v>
      </c>
      <c r="B26">
        <v>4000</v>
      </c>
    </row>
    <row r="27" spans="1:2" x14ac:dyDescent="0.3">
      <c r="A27" s="8" t="s">
        <v>216</v>
      </c>
      <c r="B27">
        <v>0</v>
      </c>
    </row>
    <row r="28" spans="1:2" x14ac:dyDescent="0.3">
      <c r="A28" s="8" t="s">
        <v>222</v>
      </c>
      <c r="B28">
        <v>0</v>
      </c>
    </row>
    <row r="29" spans="1:2" x14ac:dyDescent="0.3">
      <c r="A29" s="8" t="s">
        <v>258</v>
      </c>
      <c r="B29">
        <v>0</v>
      </c>
    </row>
    <row r="30" spans="1:2" x14ac:dyDescent="0.3">
      <c r="A30" s="8" t="s">
        <v>7</v>
      </c>
      <c r="B30">
        <v>0</v>
      </c>
    </row>
    <row r="31" spans="1:2" x14ac:dyDescent="0.3">
      <c r="A31" s="8" t="s">
        <v>135</v>
      </c>
      <c r="B31">
        <v>0</v>
      </c>
    </row>
    <row r="32" spans="1:2" x14ac:dyDescent="0.3">
      <c r="A32" s="8" t="s">
        <v>47</v>
      </c>
      <c r="B32">
        <v>27000</v>
      </c>
    </row>
    <row r="33" spans="1:2" x14ac:dyDescent="0.3">
      <c r="A33" s="8" t="s">
        <v>221</v>
      </c>
      <c r="B33">
        <v>0</v>
      </c>
    </row>
    <row r="34" spans="1:2" x14ac:dyDescent="0.3">
      <c r="A34" s="8" t="s">
        <v>321</v>
      </c>
      <c r="B34">
        <v>15500</v>
      </c>
    </row>
    <row r="35" spans="1:2" x14ac:dyDescent="0.3">
      <c r="A35" s="8" t="s">
        <v>84</v>
      </c>
      <c r="B35">
        <v>0</v>
      </c>
    </row>
    <row r="36" spans="1:2" x14ac:dyDescent="0.3">
      <c r="A36" s="8" t="s">
        <v>250</v>
      </c>
      <c r="B36">
        <v>0</v>
      </c>
    </row>
    <row r="37" spans="1:2" x14ac:dyDescent="0.3">
      <c r="A37" s="8" t="s">
        <v>132</v>
      </c>
      <c r="B37">
        <v>0</v>
      </c>
    </row>
    <row r="38" spans="1:2" x14ac:dyDescent="0.3">
      <c r="A38" s="8" t="s">
        <v>194</v>
      </c>
      <c r="B38">
        <v>0</v>
      </c>
    </row>
    <row r="39" spans="1:2" x14ac:dyDescent="0.3">
      <c r="A39" s="8" t="s">
        <v>157</v>
      </c>
      <c r="B39">
        <v>0</v>
      </c>
    </row>
    <row r="40" spans="1:2" x14ac:dyDescent="0.3">
      <c r="A40" s="8" t="s">
        <v>120</v>
      </c>
      <c r="B40">
        <v>9000</v>
      </c>
    </row>
    <row r="41" spans="1:2" x14ac:dyDescent="0.3">
      <c r="A41" s="8" t="s">
        <v>162</v>
      </c>
      <c r="B41">
        <v>0</v>
      </c>
    </row>
    <row r="42" spans="1:2" x14ac:dyDescent="0.3">
      <c r="A42" s="8" t="s">
        <v>87</v>
      </c>
      <c r="B42">
        <v>0</v>
      </c>
    </row>
    <row r="43" spans="1:2" x14ac:dyDescent="0.3">
      <c r="A43" s="8" t="s">
        <v>101</v>
      </c>
      <c r="B43">
        <v>0</v>
      </c>
    </row>
    <row r="44" spans="1:2" x14ac:dyDescent="0.3">
      <c r="A44" s="8" t="s">
        <v>57</v>
      </c>
      <c r="B44">
        <v>0</v>
      </c>
    </row>
    <row r="45" spans="1:2" x14ac:dyDescent="0.3">
      <c r="A45" s="8" t="s">
        <v>33</v>
      </c>
      <c r="B45">
        <v>3500</v>
      </c>
    </row>
    <row r="46" spans="1:2" x14ac:dyDescent="0.3">
      <c r="A46" s="8" t="s">
        <v>237</v>
      </c>
      <c r="B46">
        <v>0</v>
      </c>
    </row>
    <row r="47" spans="1:2" x14ac:dyDescent="0.3">
      <c r="A47" s="8" t="s">
        <v>163</v>
      </c>
      <c r="B47">
        <v>13500</v>
      </c>
    </row>
    <row r="48" spans="1:2" x14ac:dyDescent="0.3">
      <c r="A48" s="8" t="s">
        <v>255</v>
      </c>
      <c r="B48">
        <v>14500</v>
      </c>
    </row>
    <row r="49" spans="1:2" x14ac:dyDescent="0.3">
      <c r="A49" s="8" t="s">
        <v>81</v>
      </c>
      <c r="B49">
        <v>0</v>
      </c>
    </row>
    <row r="50" spans="1:2" x14ac:dyDescent="0.3">
      <c r="A50" s="8" t="s">
        <v>254</v>
      </c>
      <c r="B50">
        <v>0</v>
      </c>
    </row>
    <row r="51" spans="1:2" x14ac:dyDescent="0.3">
      <c r="A51" s="8" t="s">
        <v>115</v>
      </c>
      <c r="B51">
        <v>0</v>
      </c>
    </row>
    <row r="52" spans="1:2" x14ac:dyDescent="0.3">
      <c r="A52" s="8" t="s">
        <v>186</v>
      </c>
      <c r="B52">
        <v>0</v>
      </c>
    </row>
    <row r="53" spans="1:2" x14ac:dyDescent="0.3">
      <c r="A53" s="8" t="s">
        <v>16</v>
      </c>
      <c r="B53">
        <v>2500</v>
      </c>
    </row>
    <row r="54" spans="1:2" x14ac:dyDescent="0.3">
      <c r="A54" s="8" t="s">
        <v>76</v>
      </c>
      <c r="B54">
        <v>0</v>
      </c>
    </row>
    <row r="55" spans="1:2" x14ac:dyDescent="0.3">
      <c r="A55" s="8" t="s">
        <v>36</v>
      </c>
      <c r="B55">
        <v>6500</v>
      </c>
    </row>
    <row r="56" spans="1:2" x14ac:dyDescent="0.3">
      <c r="A56" s="8" t="s">
        <v>21</v>
      </c>
      <c r="B56">
        <v>76000</v>
      </c>
    </row>
    <row r="57" spans="1:2" x14ac:dyDescent="0.3">
      <c r="A57" s="8" t="s">
        <v>102</v>
      </c>
      <c r="B57">
        <v>0</v>
      </c>
    </row>
    <row r="58" spans="1:2" x14ac:dyDescent="0.3">
      <c r="A58" s="8" t="s">
        <v>58</v>
      </c>
      <c r="B58">
        <v>0</v>
      </c>
    </row>
    <row r="59" spans="1:2" x14ac:dyDescent="0.3">
      <c r="A59" s="8" t="s">
        <v>56</v>
      </c>
      <c r="B59">
        <v>0</v>
      </c>
    </row>
    <row r="60" spans="1:2" x14ac:dyDescent="0.3">
      <c r="A60" s="8" t="s">
        <v>28</v>
      </c>
      <c r="B60">
        <v>0</v>
      </c>
    </row>
    <row r="61" spans="1:2" x14ac:dyDescent="0.3">
      <c r="A61" s="8" t="s">
        <v>45</v>
      </c>
      <c r="B61">
        <v>0</v>
      </c>
    </row>
    <row r="62" spans="1:2" x14ac:dyDescent="0.3">
      <c r="A62" s="8" t="s">
        <v>218</v>
      </c>
      <c r="B62">
        <v>0</v>
      </c>
    </row>
    <row r="63" spans="1:2" x14ac:dyDescent="0.3">
      <c r="A63" s="8" t="s">
        <v>41</v>
      </c>
      <c r="B63">
        <v>0</v>
      </c>
    </row>
    <row r="64" spans="1:2" x14ac:dyDescent="0.3">
      <c r="A64" s="8" t="s">
        <v>264</v>
      </c>
      <c r="B64">
        <v>0</v>
      </c>
    </row>
    <row r="65" spans="1:2" x14ac:dyDescent="0.3">
      <c r="A65" s="8" t="s">
        <v>178</v>
      </c>
      <c r="B65">
        <v>0</v>
      </c>
    </row>
    <row r="66" spans="1:2" x14ac:dyDescent="0.3">
      <c r="A66" s="8" t="s">
        <v>247</v>
      </c>
      <c r="B66">
        <v>0</v>
      </c>
    </row>
    <row r="67" spans="1:2" x14ac:dyDescent="0.3">
      <c r="A67" s="8" t="s">
        <v>90</v>
      </c>
      <c r="B67">
        <v>0</v>
      </c>
    </row>
    <row r="68" spans="1:2" x14ac:dyDescent="0.3">
      <c r="A68" s="8" t="s">
        <v>139</v>
      </c>
      <c r="B68">
        <v>0</v>
      </c>
    </row>
    <row r="69" spans="1:2" x14ac:dyDescent="0.3">
      <c r="A69" s="8" t="s">
        <v>13</v>
      </c>
      <c r="B69">
        <v>0</v>
      </c>
    </row>
    <row r="70" spans="1:2" x14ac:dyDescent="0.3">
      <c r="A70" s="8" t="s">
        <v>191</v>
      </c>
      <c r="B70">
        <v>0</v>
      </c>
    </row>
    <row r="71" spans="1:2" x14ac:dyDescent="0.3">
      <c r="A71" s="8" t="s">
        <v>50</v>
      </c>
      <c r="B71">
        <v>0</v>
      </c>
    </row>
    <row r="72" spans="1:2" x14ac:dyDescent="0.3">
      <c r="A72" s="8" t="s">
        <v>183</v>
      </c>
      <c r="B72">
        <v>0</v>
      </c>
    </row>
    <row r="73" spans="1:2" x14ac:dyDescent="0.3">
      <c r="A73" s="8" t="s">
        <v>204</v>
      </c>
      <c r="B73">
        <v>0</v>
      </c>
    </row>
    <row r="74" spans="1:2" x14ac:dyDescent="0.3">
      <c r="A74" s="8" t="s">
        <v>206</v>
      </c>
      <c r="B74">
        <v>68250</v>
      </c>
    </row>
    <row r="75" spans="1:2" x14ac:dyDescent="0.3">
      <c r="A75" s="8" t="s">
        <v>270</v>
      </c>
      <c r="B75">
        <v>0</v>
      </c>
    </row>
    <row r="76" spans="1:2" x14ac:dyDescent="0.3">
      <c r="A76" s="8" t="s">
        <v>275</v>
      </c>
      <c r="B76">
        <v>0</v>
      </c>
    </row>
    <row r="77" spans="1:2" x14ac:dyDescent="0.3">
      <c r="A77" s="8" t="s">
        <v>279</v>
      </c>
      <c r="B77">
        <v>0</v>
      </c>
    </row>
    <row r="78" spans="1:2" x14ac:dyDescent="0.3">
      <c r="A78" s="8" t="s">
        <v>283</v>
      </c>
      <c r="B78">
        <v>0</v>
      </c>
    </row>
    <row r="79" spans="1:2" x14ac:dyDescent="0.3">
      <c r="A79" s="8" t="s">
        <v>288</v>
      </c>
      <c r="B79">
        <v>0</v>
      </c>
    </row>
    <row r="80" spans="1:2" x14ac:dyDescent="0.3">
      <c r="A80" s="8" t="s">
        <v>292</v>
      </c>
      <c r="B80">
        <v>0</v>
      </c>
    </row>
    <row r="81" spans="1:2" x14ac:dyDescent="0.3">
      <c r="A81" s="8" t="s">
        <v>295</v>
      </c>
      <c r="B81">
        <v>0</v>
      </c>
    </row>
    <row r="82" spans="1:2" x14ac:dyDescent="0.3">
      <c r="A82" s="8" t="s">
        <v>297</v>
      </c>
      <c r="B82">
        <v>0</v>
      </c>
    </row>
    <row r="83" spans="1:2" x14ac:dyDescent="0.3">
      <c r="A83" s="8" t="s">
        <v>300</v>
      </c>
      <c r="B83">
        <v>10000</v>
      </c>
    </row>
    <row r="84" spans="1:2" x14ac:dyDescent="0.3">
      <c r="A84" s="8" t="s">
        <v>303</v>
      </c>
      <c r="B84">
        <v>0</v>
      </c>
    </row>
    <row r="85" spans="1:2" x14ac:dyDescent="0.3">
      <c r="A85" s="8" t="s">
        <v>305</v>
      </c>
      <c r="B85">
        <v>2500</v>
      </c>
    </row>
    <row r="86" spans="1:2" x14ac:dyDescent="0.3">
      <c r="A86" s="8" t="s">
        <v>322</v>
      </c>
      <c r="B86">
        <v>0</v>
      </c>
    </row>
    <row r="87" spans="1:2" x14ac:dyDescent="0.3">
      <c r="A87" s="8" t="s">
        <v>309</v>
      </c>
      <c r="B87">
        <v>0</v>
      </c>
    </row>
    <row r="88" spans="1:2" x14ac:dyDescent="0.3">
      <c r="A88" s="8" t="s">
        <v>315</v>
      </c>
      <c r="B88">
        <v>0</v>
      </c>
    </row>
    <row r="89" spans="1:2" x14ac:dyDescent="0.3">
      <c r="A89" s="8" t="s">
        <v>325</v>
      </c>
      <c r="B89">
        <v>0</v>
      </c>
    </row>
    <row r="90" spans="1:2" x14ac:dyDescent="0.3">
      <c r="A90" s="8" t="s">
        <v>330</v>
      </c>
      <c r="B90">
        <v>0</v>
      </c>
    </row>
    <row r="91" spans="1:2" x14ac:dyDescent="0.3">
      <c r="A91" s="8" t="s">
        <v>333</v>
      </c>
      <c r="B91">
        <v>0</v>
      </c>
    </row>
    <row r="92" spans="1:2" x14ac:dyDescent="0.3">
      <c r="A92" s="8" t="s">
        <v>337</v>
      </c>
      <c r="B92">
        <v>0</v>
      </c>
    </row>
    <row r="93" spans="1:2" x14ac:dyDescent="0.3">
      <c r="A93" s="8" t="s">
        <v>341</v>
      </c>
      <c r="B93">
        <v>0</v>
      </c>
    </row>
    <row r="94" spans="1:2" x14ac:dyDescent="0.3">
      <c r="A94" s="8" t="s">
        <v>367</v>
      </c>
      <c r="B94">
        <v>6750</v>
      </c>
    </row>
    <row r="95" spans="1:2" x14ac:dyDescent="0.3">
      <c r="A95" s="8" t="s">
        <v>351</v>
      </c>
      <c r="B95">
        <v>0</v>
      </c>
    </row>
    <row r="96" spans="1:2" x14ac:dyDescent="0.3">
      <c r="A96" s="8" t="s">
        <v>354</v>
      </c>
      <c r="B96">
        <v>0</v>
      </c>
    </row>
    <row r="97" spans="1:2" x14ac:dyDescent="0.3">
      <c r="A97" s="8" t="s">
        <v>359</v>
      </c>
      <c r="B97">
        <v>3000</v>
      </c>
    </row>
    <row r="98" spans="1:2" x14ac:dyDescent="0.3">
      <c r="A98" s="8" t="s">
        <v>361</v>
      </c>
      <c r="B98">
        <v>0</v>
      </c>
    </row>
    <row r="99" spans="1:2" x14ac:dyDescent="0.3">
      <c r="A99" s="8" t="s">
        <v>366</v>
      </c>
      <c r="B99">
        <v>0</v>
      </c>
    </row>
    <row r="100" spans="1:2" x14ac:dyDescent="0.3">
      <c r="A100" s="8" t="s">
        <v>368</v>
      </c>
      <c r="B100">
        <v>11500</v>
      </c>
    </row>
    <row r="101" spans="1:2" x14ac:dyDescent="0.3">
      <c r="A101" s="8" t="s">
        <v>397</v>
      </c>
      <c r="B101">
        <v>0</v>
      </c>
    </row>
    <row r="102" spans="1:2" x14ac:dyDescent="0.3">
      <c r="A102" s="8" t="s">
        <v>403</v>
      </c>
      <c r="B102">
        <v>1400</v>
      </c>
    </row>
    <row r="103" spans="1:2" x14ac:dyDescent="0.3">
      <c r="A103" s="8" t="s">
        <v>377</v>
      </c>
      <c r="B103">
        <v>0</v>
      </c>
    </row>
    <row r="104" spans="1:2" x14ac:dyDescent="0.3">
      <c r="A104" s="8" t="s">
        <v>382</v>
      </c>
      <c r="B104">
        <v>0</v>
      </c>
    </row>
    <row r="105" spans="1:2" x14ac:dyDescent="0.3">
      <c r="A105" s="8" t="s">
        <v>401</v>
      </c>
      <c r="B105">
        <v>0</v>
      </c>
    </row>
    <row r="106" spans="1:2" x14ac:dyDescent="0.3">
      <c r="A106" s="8" t="s">
        <v>407</v>
      </c>
      <c r="B106">
        <v>0</v>
      </c>
    </row>
    <row r="107" spans="1:2" x14ac:dyDescent="0.3">
      <c r="A107" s="8" t="s">
        <v>420</v>
      </c>
      <c r="B107">
        <v>0</v>
      </c>
    </row>
    <row r="108" spans="1:2" x14ac:dyDescent="0.3">
      <c r="A108" s="8" t="s">
        <v>438</v>
      </c>
      <c r="B108">
        <v>0</v>
      </c>
    </row>
    <row r="109" spans="1:2" x14ac:dyDescent="0.3">
      <c r="A109" s="8" t="s">
        <v>433</v>
      </c>
      <c r="B109">
        <v>2000</v>
      </c>
    </row>
    <row r="110" spans="1:2" x14ac:dyDescent="0.3">
      <c r="A110" s="8" t="s">
        <v>446</v>
      </c>
      <c r="B110">
        <v>0</v>
      </c>
    </row>
    <row r="111" spans="1:2" x14ac:dyDescent="0.3">
      <c r="A111" s="8" t="s">
        <v>450</v>
      </c>
      <c r="B111">
        <v>0</v>
      </c>
    </row>
    <row r="112" spans="1:2" x14ac:dyDescent="0.3">
      <c r="A112" s="8" t="s">
        <v>478</v>
      </c>
      <c r="B112">
        <v>0</v>
      </c>
    </row>
    <row r="113" spans="1:2" x14ac:dyDescent="0.3">
      <c r="A113" s="8" t="s">
        <v>466</v>
      </c>
      <c r="B113">
        <v>0</v>
      </c>
    </row>
    <row r="114" spans="1:2" x14ac:dyDescent="0.3">
      <c r="A114" s="8" t="s">
        <v>473</v>
      </c>
      <c r="B114">
        <v>0</v>
      </c>
    </row>
    <row r="115" spans="1:2" x14ac:dyDescent="0.3">
      <c r="A115" s="8" t="s">
        <v>486</v>
      </c>
      <c r="B115">
        <v>0</v>
      </c>
    </row>
    <row r="116" spans="1:2" x14ac:dyDescent="0.3">
      <c r="A116" s="8" t="s">
        <v>480</v>
      </c>
      <c r="B116">
        <v>2100</v>
      </c>
    </row>
    <row r="117" spans="1:2" x14ac:dyDescent="0.3">
      <c r="A117" s="8" t="s">
        <v>482</v>
      </c>
      <c r="B117">
        <v>0</v>
      </c>
    </row>
    <row r="118" spans="1:2" x14ac:dyDescent="0.3">
      <c r="A118" s="8" t="s">
        <v>488</v>
      </c>
      <c r="B118">
        <v>0</v>
      </c>
    </row>
    <row r="119" spans="1:2" x14ac:dyDescent="0.3">
      <c r="A119" s="8" t="s">
        <v>495</v>
      </c>
      <c r="B119">
        <v>0</v>
      </c>
    </row>
    <row r="120" spans="1:2" x14ac:dyDescent="0.3">
      <c r="A120" s="8" t="s">
        <v>501</v>
      </c>
      <c r="B120">
        <v>0</v>
      </c>
    </row>
    <row r="121" spans="1:2" x14ac:dyDescent="0.3">
      <c r="A121" s="8" t="s">
        <v>504</v>
      </c>
      <c r="B121">
        <v>0</v>
      </c>
    </row>
    <row r="122" spans="1:2" x14ac:dyDescent="0.3">
      <c r="A122" s="8" t="s">
        <v>514</v>
      </c>
      <c r="B122">
        <v>0</v>
      </c>
    </row>
    <row r="123" spans="1:2" x14ac:dyDescent="0.3">
      <c r="A123" s="8" t="s">
        <v>507</v>
      </c>
      <c r="B123">
        <v>0</v>
      </c>
    </row>
    <row r="124" spans="1:2" x14ac:dyDescent="0.3">
      <c r="A124" s="8" t="s">
        <v>510</v>
      </c>
      <c r="B124">
        <v>0</v>
      </c>
    </row>
    <row r="125" spans="1:2" x14ac:dyDescent="0.3">
      <c r="A125" s="8" t="s">
        <v>516</v>
      </c>
      <c r="B125">
        <v>0</v>
      </c>
    </row>
    <row r="126" spans="1:2" x14ac:dyDescent="0.3">
      <c r="A126" s="8" t="s">
        <v>518</v>
      </c>
      <c r="B126">
        <v>350000</v>
      </c>
    </row>
    <row r="127" spans="1:2" x14ac:dyDescent="0.3">
      <c r="A127" s="8" t="s">
        <v>534</v>
      </c>
      <c r="B127">
        <v>17500</v>
      </c>
    </row>
    <row r="128" spans="1:2" x14ac:dyDescent="0.3">
      <c r="A128" s="8" t="s">
        <v>540</v>
      </c>
      <c r="B128">
        <v>15000</v>
      </c>
    </row>
    <row r="129" spans="1:2" x14ac:dyDescent="0.3">
      <c r="A129" s="8" t="s">
        <v>543</v>
      </c>
      <c r="B129">
        <v>0</v>
      </c>
    </row>
    <row r="130" spans="1:2" x14ac:dyDescent="0.3">
      <c r="A130" s="8" t="s">
        <v>2</v>
      </c>
      <c r="B130">
        <v>0</v>
      </c>
    </row>
    <row r="131" spans="1:2" x14ac:dyDescent="0.3">
      <c r="A131" s="8" t="s">
        <v>553</v>
      </c>
      <c r="B131">
        <v>2000</v>
      </c>
    </row>
    <row r="132" spans="1:2" x14ac:dyDescent="0.3">
      <c r="A132" s="8" t="s">
        <v>555</v>
      </c>
      <c r="B132">
        <v>4000</v>
      </c>
    </row>
    <row r="133" spans="1:2" x14ac:dyDescent="0.3">
      <c r="A133" s="8" t="s">
        <v>559</v>
      </c>
      <c r="B133">
        <v>0</v>
      </c>
    </row>
    <row r="134" spans="1:2" x14ac:dyDescent="0.3">
      <c r="A134" s="8" t="s">
        <v>561</v>
      </c>
      <c r="B134">
        <v>0</v>
      </c>
    </row>
    <row r="135" spans="1:2" x14ac:dyDescent="0.3">
      <c r="A135" s="8" t="s">
        <v>569</v>
      </c>
      <c r="B135">
        <v>0</v>
      </c>
    </row>
    <row r="136" spans="1:2" x14ac:dyDescent="0.3">
      <c r="A136" s="8" t="s">
        <v>571</v>
      </c>
      <c r="B136">
        <v>5000</v>
      </c>
    </row>
    <row r="137" spans="1:2" x14ac:dyDescent="0.3">
      <c r="A137" s="8" t="s">
        <v>574</v>
      </c>
      <c r="B137">
        <v>0</v>
      </c>
    </row>
    <row r="138" spans="1:2" x14ac:dyDescent="0.3">
      <c r="A138" s="8" t="s">
        <v>579</v>
      </c>
      <c r="B138">
        <v>5000</v>
      </c>
    </row>
    <row r="139" spans="1:2" x14ac:dyDescent="0.3">
      <c r="A139" s="8" t="s">
        <v>581</v>
      </c>
      <c r="B139">
        <v>1000</v>
      </c>
    </row>
    <row r="140" spans="1:2" x14ac:dyDescent="0.3">
      <c r="A140" s="8" t="s">
        <v>583</v>
      </c>
      <c r="B140">
        <v>0</v>
      </c>
    </row>
    <row r="141" spans="1:2" x14ac:dyDescent="0.3">
      <c r="A141" s="8" t="s">
        <v>593</v>
      </c>
      <c r="B141">
        <v>0</v>
      </c>
    </row>
    <row r="142" spans="1:2" x14ac:dyDescent="0.3">
      <c r="A142" s="8" t="s">
        <v>599</v>
      </c>
      <c r="B142">
        <v>1000</v>
      </c>
    </row>
    <row r="143" spans="1:2" x14ac:dyDescent="0.3">
      <c r="A143" s="8" t="s">
        <v>601</v>
      </c>
      <c r="B143">
        <v>0</v>
      </c>
    </row>
    <row r="144" spans="1:2" x14ac:dyDescent="0.3">
      <c r="A144" s="8" t="s">
        <v>643</v>
      </c>
      <c r="B144">
        <v>0</v>
      </c>
    </row>
    <row r="145" spans="1:2" x14ac:dyDescent="0.3">
      <c r="A145" s="8" t="s">
        <v>645</v>
      </c>
      <c r="B145">
        <v>0</v>
      </c>
    </row>
    <row r="146" spans="1:2" x14ac:dyDescent="0.3">
      <c r="A146" s="8" t="s">
        <v>652</v>
      </c>
      <c r="B146">
        <v>4500</v>
      </c>
    </row>
    <row r="147" spans="1:2" x14ac:dyDescent="0.3">
      <c r="A147" s="8" t="s">
        <v>664</v>
      </c>
      <c r="B147">
        <v>0</v>
      </c>
    </row>
    <row r="148" spans="1:2" x14ac:dyDescent="0.3">
      <c r="A148" s="8" t="s">
        <v>671</v>
      </c>
      <c r="B148">
        <v>6000</v>
      </c>
    </row>
    <row r="149" spans="1:2" x14ac:dyDescent="0.3">
      <c r="A149" s="8" t="s">
        <v>676</v>
      </c>
      <c r="B149">
        <v>0</v>
      </c>
    </row>
    <row r="150" spans="1:2" x14ac:dyDescent="0.3">
      <c r="A150" s="8" t="s">
        <v>687</v>
      </c>
      <c r="B150">
        <v>0</v>
      </c>
    </row>
    <row r="151" spans="1:2" x14ac:dyDescent="0.3">
      <c r="A151" s="8" t="s">
        <v>690</v>
      </c>
      <c r="B151">
        <v>35000</v>
      </c>
    </row>
    <row r="152" spans="1:2" x14ac:dyDescent="0.3">
      <c r="A152" s="8" t="s">
        <v>719</v>
      </c>
      <c r="B152">
        <v>0</v>
      </c>
    </row>
    <row r="153" spans="1:2" x14ac:dyDescent="0.3">
      <c r="A153" s="8" t="s">
        <v>723</v>
      </c>
      <c r="B153">
        <v>0</v>
      </c>
    </row>
    <row r="154" spans="1:2" x14ac:dyDescent="0.3">
      <c r="A154" s="8" t="s">
        <v>726</v>
      </c>
      <c r="B154">
        <v>0</v>
      </c>
    </row>
    <row r="155" spans="1:2" x14ac:dyDescent="0.3">
      <c r="A155" s="8" t="s">
        <v>734</v>
      </c>
      <c r="B155">
        <v>10000</v>
      </c>
    </row>
    <row r="156" spans="1:2" x14ac:dyDescent="0.3">
      <c r="A156" s="8" t="s">
        <v>746</v>
      </c>
      <c r="B156">
        <v>0</v>
      </c>
    </row>
    <row r="157" spans="1:2" x14ac:dyDescent="0.3">
      <c r="A157" s="8" t="s">
        <v>268</v>
      </c>
      <c r="B157">
        <v>790000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AC48A-9DD1-4E80-8F8A-8A0CF7AABEF4}">
  <dimension ref="A1:B157"/>
  <sheetViews>
    <sheetView topLeftCell="A95" workbookViewId="0">
      <selection activeCell="B7" sqref="B7"/>
    </sheetView>
  </sheetViews>
  <sheetFormatPr defaultRowHeight="14.4" x14ac:dyDescent="0.3"/>
  <cols>
    <col min="1" max="1" width="22.109375" bestFit="1" customWidth="1"/>
    <col min="2" max="2" width="12.77734375" bestFit="1" customWidth="1"/>
    <col min="3" max="3" width="13.44140625" bestFit="1" customWidth="1"/>
  </cols>
  <sheetData>
    <row r="1" spans="1:2" x14ac:dyDescent="0.3">
      <c r="A1" s="11" t="s">
        <v>267</v>
      </c>
      <c r="B1" t="s">
        <v>269</v>
      </c>
    </row>
    <row r="2" spans="1:2" x14ac:dyDescent="0.3">
      <c r="A2" s="8" t="s">
        <v>177</v>
      </c>
      <c r="B2">
        <v>400</v>
      </c>
    </row>
    <row r="3" spans="1:2" x14ac:dyDescent="0.3">
      <c r="A3" s="8" t="s">
        <v>67</v>
      </c>
      <c r="B3">
        <v>1500</v>
      </c>
    </row>
    <row r="4" spans="1:2" x14ac:dyDescent="0.3">
      <c r="A4" s="8" t="s">
        <v>234</v>
      </c>
      <c r="B4">
        <v>23500</v>
      </c>
    </row>
    <row r="5" spans="1:2" x14ac:dyDescent="0.3">
      <c r="A5" s="8" t="s">
        <v>92</v>
      </c>
      <c r="B5">
        <v>30000</v>
      </c>
    </row>
    <row r="6" spans="1:2" x14ac:dyDescent="0.3">
      <c r="A6" s="8" t="s">
        <v>20</v>
      </c>
      <c r="B6">
        <v>47000</v>
      </c>
    </row>
    <row r="7" spans="1:2" x14ac:dyDescent="0.3">
      <c r="A7" s="8" t="s">
        <v>146</v>
      </c>
      <c r="B7">
        <v>137000</v>
      </c>
    </row>
    <row r="8" spans="1:2" x14ac:dyDescent="0.3">
      <c r="A8" s="8" t="s">
        <v>29</v>
      </c>
      <c r="B8">
        <v>7500</v>
      </c>
    </row>
    <row r="9" spans="1:2" x14ac:dyDescent="0.3">
      <c r="A9" s="8" t="s">
        <v>172</v>
      </c>
      <c r="B9">
        <v>50000</v>
      </c>
    </row>
    <row r="10" spans="1:2" x14ac:dyDescent="0.3">
      <c r="A10" s="8" t="s">
        <v>171</v>
      </c>
      <c r="B10">
        <v>1000</v>
      </c>
    </row>
    <row r="11" spans="1:2" x14ac:dyDescent="0.3">
      <c r="A11" s="8" t="s">
        <v>42</v>
      </c>
      <c r="B11">
        <v>5000</v>
      </c>
    </row>
    <row r="12" spans="1:2" x14ac:dyDescent="0.3">
      <c r="A12" s="8" t="s">
        <v>8</v>
      </c>
      <c r="B12">
        <v>75900</v>
      </c>
    </row>
    <row r="13" spans="1:2" x14ac:dyDescent="0.3">
      <c r="A13" s="8" t="s">
        <v>116</v>
      </c>
      <c r="B13">
        <v>5800</v>
      </c>
    </row>
    <row r="14" spans="1:2" x14ac:dyDescent="0.3">
      <c r="A14" s="8" t="s">
        <v>91</v>
      </c>
      <c r="B14">
        <v>79500</v>
      </c>
    </row>
    <row r="15" spans="1:2" x14ac:dyDescent="0.3">
      <c r="A15" s="8" t="s">
        <v>215</v>
      </c>
      <c r="B15">
        <v>3000</v>
      </c>
    </row>
    <row r="16" spans="1:2" x14ac:dyDescent="0.3">
      <c r="A16" s="8" t="s">
        <v>179</v>
      </c>
      <c r="B16">
        <v>0</v>
      </c>
    </row>
    <row r="17" spans="1:2" x14ac:dyDescent="0.3">
      <c r="A17" s="8" t="s">
        <v>31</v>
      </c>
      <c r="B17">
        <v>38000</v>
      </c>
    </row>
    <row r="18" spans="1:2" x14ac:dyDescent="0.3">
      <c r="A18" s="8" t="s">
        <v>64</v>
      </c>
      <c r="B18">
        <v>6500</v>
      </c>
    </row>
    <row r="19" spans="1:2" x14ac:dyDescent="0.3">
      <c r="A19" s="8" t="s">
        <v>110</v>
      </c>
      <c r="B19">
        <v>1000</v>
      </c>
    </row>
    <row r="20" spans="1:2" x14ac:dyDescent="0.3">
      <c r="A20" s="8" t="s">
        <v>153</v>
      </c>
      <c r="B20">
        <v>27300</v>
      </c>
    </row>
    <row r="21" spans="1:2" x14ac:dyDescent="0.3">
      <c r="A21" s="8" t="s">
        <v>248</v>
      </c>
      <c r="B21">
        <v>500</v>
      </c>
    </row>
    <row r="22" spans="1:2" x14ac:dyDescent="0.3">
      <c r="A22" s="8" t="s">
        <v>205</v>
      </c>
      <c r="B22">
        <v>2500</v>
      </c>
    </row>
    <row r="23" spans="1:2" x14ac:dyDescent="0.3">
      <c r="A23" s="8" t="s">
        <v>228</v>
      </c>
      <c r="B23">
        <v>39000</v>
      </c>
    </row>
    <row r="24" spans="1:2" x14ac:dyDescent="0.3">
      <c r="A24" s="8" t="s">
        <v>38</v>
      </c>
      <c r="B24">
        <v>11000</v>
      </c>
    </row>
    <row r="25" spans="1:2" x14ac:dyDescent="0.3">
      <c r="A25" s="8" t="s">
        <v>100</v>
      </c>
      <c r="B25">
        <v>103800</v>
      </c>
    </row>
    <row r="26" spans="1:2" x14ac:dyDescent="0.3">
      <c r="A26" s="8" t="s">
        <v>49</v>
      </c>
      <c r="B26">
        <v>15000</v>
      </c>
    </row>
    <row r="27" spans="1:2" x14ac:dyDescent="0.3">
      <c r="A27" s="8" t="s">
        <v>216</v>
      </c>
      <c r="B27">
        <v>1500</v>
      </c>
    </row>
    <row r="28" spans="1:2" x14ac:dyDescent="0.3">
      <c r="A28" s="8" t="s">
        <v>222</v>
      </c>
      <c r="B28">
        <v>900</v>
      </c>
    </row>
    <row r="29" spans="1:2" x14ac:dyDescent="0.3">
      <c r="A29" s="8" t="s">
        <v>258</v>
      </c>
      <c r="B29">
        <v>3500</v>
      </c>
    </row>
    <row r="30" spans="1:2" x14ac:dyDescent="0.3">
      <c r="A30" s="8" t="s">
        <v>7</v>
      </c>
      <c r="B30">
        <v>157100</v>
      </c>
    </row>
    <row r="31" spans="1:2" x14ac:dyDescent="0.3">
      <c r="A31" s="8" t="s">
        <v>135</v>
      </c>
      <c r="B31">
        <v>7205</v>
      </c>
    </row>
    <row r="32" spans="1:2" x14ac:dyDescent="0.3">
      <c r="A32" s="8" t="s">
        <v>47</v>
      </c>
      <c r="B32">
        <v>81500</v>
      </c>
    </row>
    <row r="33" spans="1:2" x14ac:dyDescent="0.3">
      <c r="A33" s="8" t="s">
        <v>221</v>
      </c>
      <c r="B33">
        <v>10200</v>
      </c>
    </row>
    <row r="34" spans="1:2" x14ac:dyDescent="0.3">
      <c r="A34" s="8" t="s">
        <v>321</v>
      </c>
      <c r="B34">
        <v>22300</v>
      </c>
    </row>
    <row r="35" spans="1:2" x14ac:dyDescent="0.3">
      <c r="A35" s="8" t="s">
        <v>84</v>
      </c>
      <c r="B35">
        <v>1500</v>
      </c>
    </row>
    <row r="36" spans="1:2" x14ac:dyDescent="0.3">
      <c r="A36" s="8" t="s">
        <v>250</v>
      </c>
      <c r="B36">
        <v>3000</v>
      </c>
    </row>
    <row r="37" spans="1:2" x14ac:dyDescent="0.3">
      <c r="A37" s="8" t="s">
        <v>132</v>
      </c>
      <c r="B37">
        <v>11000</v>
      </c>
    </row>
    <row r="38" spans="1:2" x14ac:dyDescent="0.3">
      <c r="A38" s="8" t="s">
        <v>194</v>
      </c>
      <c r="B38">
        <v>10140</v>
      </c>
    </row>
    <row r="39" spans="1:2" x14ac:dyDescent="0.3">
      <c r="A39" s="8" t="s">
        <v>157</v>
      </c>
      <c r="B39">
        <v>3500</v>
      </c>
    </row>
    <row r="40" spans="1:2" x14ac:dyDescent="0.3">
      <c r="A40" s="8" t="s">
        <v>120</v>
      </c>
      <c r="B40">
        <v>30000</v>
      </c>
    </row>
    <row r="41" spans="1:2" x14ac:dyDescent="0.3">
      <c r="A41" s="8" t="s">
        <v>162</v>
      </c>
      <c r="B41">
        <v>5200</v>
      </c>
    </row>
    <row r="42" spans="1:2" x14ac:dyDescent="0.3">
      <c r="A42" s="8" t="s">
        <v>87</v>
      </c>
      <c r="B42">
        <v>400</v>
      </c>
    </row>
    <row r="43" spans="1:2" x14ac:dyDescent="0.3">
      <c r="A43" s="8" t="s">
        <v>101</v>
      </c>
      <c r="B43">
        <v>950</v>
      </c>
    </row>
    <row r="44" spans="1:2" x14ac:dyDescent="0.3">
      <c r="A44" s="8" t="s">
        <v>57</v>
      </c>
      <c r="B44">
        <v>29700</v>
      </c>
    </row>
    <row r="45" spans="1:2" x14ac:dyDescent="0.3">
      <c r="A45" s="8" t="s">
        <v>33</v>
      </c>
      <c r="B45">
        <v>3500</v>
      </c>
    </row>
    <row r="46" spans="1:2" x14ac:dyDescent="0.3">
      <c r="A46" s="8" t="s">
        <v>237</v>
      </c>
      <c r="B46">
        <v>22500</v>
      </c>
    </row>
    <row r="47" spans="1:2" x14ac:dyDescent="0.3">
      <c r="A47" s="8" t="s">
        <v>163</v>
      </c>
      <c r="B47">
        <v>15500</v>
      </c>
    </row>
    <row r="48" spans="1:2" x14ac:dyDescent="0.3">
      <c r="A48" s="8" t="s">
        <v>255</v>
      </c>
      <c r="B48">
        <v>37500</v>
      </c>
    </row>
    <row r="49" spans="1:2" x14ac:dyDescent="0.3">
      <c r="A49" s="8" t="s">
        <v>81</v>
      </c>
      <c r="B49">
        <v>3000</v>
      </c>
    </row>
    <row r="50" spans="1:2" x14ac:dyDescent="0.3">
      <c r="A50" s="8" t="s">
        <v>254</v>
      </c>
      <c r="B50">
        <v>2300</v>
      </c>
    </row>
    <row r="51" spans="1:2" x14ac:dyDescent="0.3">
      <c r="A51" s="8" t="s">
        <v>115</v>
      </c>
      <c r="B51">
        <v>13800</v>
      </c>
    </row>
    <row r="52" spans="1:2" x14ac:dyDescent="0.3">
      <c r="A52" s="8" t="s">
        <v>186</v>
      </c>
      <c r="B52">
        <v>10800</v>
      </c>
    </row>
    <row r="53" spans="1:2" x14ac:dyDescent="0.3">
      <c r="A53" s="8" t="s">
        <v>16</v>
      </c>
      <c r="B53">
        <v>17500</v>
      </c>
    </row>
    <row r="54" spans="1:2" x14ac:dyDescent="0.3">
      <c r="A54" s="8" t="s">
        <v>76</v>
      </c>
      <c r="B54">
        <v>1250</v>
      </c>
    </row>
    <row r="55" spans="1:2" x14ac:dyDescent="0.3">
      <c r="A55" s="8" t="s">
        <v>36</v>
      </c>
      <c r="B55">
        <v>17900</v>
      </c>
    </row>
    <row r="56" spans="1:2" x14ac:dyDescent="0.3">
      <c r="A56" s="8" t="s">
        <v>21</v>
      </c>
      <c r="B56">
        <v>177100</v>
      </c>
    </row>
    <row r="57" spans="1:2" x14ac:dyDescent="0.3">
      <c r="A57" s="8" t="s">
        <v>102</v>
      </c>
      <c r="B57">
        <v>60000</v>
      </c>
    </row>
    <row r="58" spans="1:2" x14ac:dyDescent="0.3">
      <c r="A58" s="8" t="s">
        <v>58</v>
      </c>
      <c r="B58">
        <v>9450</v>
      </c>
    </row>
    <row r="59" spans="1:2" x14ac:dyDescent="0.3">
      <c r="A59" s="8" t="s">
        <v>56</v>
      </c>
      <c r="B59">
        <v>9800</v>
      </c>
    </row>
    <row r="60" spans="1:2" x14ac:dyDescent="0.3">
      <c r="A60" s="8" t="s">
        <v>28</v>
      </c>
      <c r="B60">
        <v>10000</v>
      </c>
    </row>
    <row r="61" spans="1:2" x14ac:dyDescent="0.3">
      <c r="A61" s="8" t="s">
        <v>45</v>
      </c>
      <c r="B61">
        <v>2500</v>
      </c>
    </row>
    <row r="62" spans="1:2" x14ac:dyDescent="0.3">
      <c r="A62" s="8" t="s">
        <v>218</v>
      </c>
      <c r="B62">
        <v>21250</v>
      </c>
    </row>
    <row r="63" spans="1:2" x14ac:dyDescent="0.3">
      <c r="A63" s="8" t="s">
        <v>41</v>
      </c>
      <c r="B63">
        <v>7300</v>
      </c>
    </row>
    <row r="64" spans="1:2" x14ac:dyDescent="0.3">
      <c r="A64" s="8" t="s">
        <v>264</v>
      </c>
      <c r="B64">
        <v>87000</v>
      </c>
    </row>
    <row r="65" spans="1:2" x14ac:dyDescent="0.3">
      <c r="A65" s="8" t="s">
        <v>178</v>
      </c>
      <c r="B65">
        <v>5000</v>
      </c>
    </row>
    <row r="66" spans="1:2" x14ac:dyDescent="0.3">
      <c r="A66" s="8" t="s">
        <v>247</v>
      </c>
      <c r="B66">
        <v>2000</v>
      </c>
    </row>
    <row r="67" spans="1:2" x14ac:dyDescent="0.3">
      <c r="A67" s="8" t="s">
        <v>90</v>
      </c>
      <c r="B67">
        <v>92150</v>
      </c>
    </row>
    <row r="68" spans="1:2" x14ac:dyDescent="0.3">
      <c r="A68" s="8" t="s">
        <v>139</v>
      </c>
      <c r="B68">
        <v>7200</v>
      </c>
    </row>
    <row r="69" spans="1:2" x14ac:dyDescent="0.3">
      <c r="A69" s="8" t="s">
        <v>13</v>
      </c>
      <c r="B69">
        <v>32000</v>
      </c>
    </row>
    <row r="70" spans="1:2" x14ac:dyDescent="0.3">
      <c r="A70" s="8" t="s">
        <v>191</v>
      </c>
      <c r="B70">
        <v>12500</v>
      </c>
    </row>
    <row r="71" spans="1:2" x14ac:dyDescent="0.3">
      <c r="A71" s="8" t="s">
        <v>50</v>
      </c>
      <c r="B71">
        <v>1150</v>
      </c>
    </row>
    <row r="72" spans="1:2" x14ac:dyDescent="0.3">
      <c r="A72" s="8" t="s">
        <v>183</v>
      </c>
      <c r="B72">
        <v>64500</v>
      </c>
    </row>
    <row r="73" spans="1:2" x14ac:dyDescent="0.3">
      <c r="A73" s="8" t="s">
        <v>204</v>
      </c>
      <c r="B73">
        <v>20500</v>
      </c>
    </row>
    <row r="74" spans="1:2" x14ac:dyDescent="0.3">
      <c r="A74" s="8" t="s">
        <v>206</v>
      </c>
      <c r="B74">
        <v>81750</v>
      </c>
    </row>
    <row r="75" spans="1:2" x14ac:dyDescent="0.3">
      <c r="A75" s="8" t="s">
        <v>270</v>
      </c>
    </row>
    <row r="76" spans="1:2" x14ac:dyDescent="0.3">
      <c r="A76" s="8" t="s">
        <v>275</v>
      </c>
      <c r="B76">
        <v>500</v>
      </c>
    </row>
    <row r="77" spans="1:2" x14ac:dyDescent="0.3">
      <c r="A77" s="8" t="s">
        <v>279</v>
      </c>
      <c r="B77">
        <v>300</v>
      </c>
    </row>
    <row r="78" spans="1:2" x14ac:dyDescent="0.3">
      <c r="A78" s="8" t="s">
        <v>283</v>
      </c>
      <c r="B78">
        <v>24500</v>
      </c>
    </row>
    <row r="79" spans="1:2" x14ac:dyDescent="0.3">
      <c r="A79" s="8" t="s">
        <v>288</v>
      </c>
      <c r="B79">
        <v>11250</v>
      </c>
    </row>
    <row r="80" spans="1:2" x14ac:dyDescent="0.3">
      <c r="A80" s="8" t="s">
        <v>292</v>
      </c>
      <c r="B80">
        <v>2000</v>
      </c>
    </row>
    <row r="81" spans="1:2" x14ac:dyDescent="0.3">
      <c r="A81" s="8" t="s">
        <v>295</v>
      </c>
      <c r="B81">
        <v>4000</v>
      </c>
    </row>
    <row r="82" spans="1:2" x14ac:dyDescent="0.3">
      <c r="A82" s="8" t="s">
        <v>297</v>
      </c>
      <c r="B82">
        <v>15000</v>
      </c>
    </row>
    <row r="83" spans="1:2" x14ac:dyDescent="0.3">
      <c r="A83" s="8" t="s">
        <v>300</v>
      </c>
      <c r="B83">
        <v>86500</v>
      </c>
    </row>
    <row r="84" spans="1:2" x14ac:dyDescent="0.3">
      <c r="A84" s="8" t="s">
        <v>303</v>
      </c>
      <c r="B84">
        <v>65000</v>
      </c>
    </row>
    <row r="85" spans="1:2" x14ac:dyDescent="0.3">
      <c r="A85" s="8" t="s">
        <v>305</v>
      </c>
      <c r="B85">
        <v>22000</v>
      </c>
    </row>
    <row r="86" spans="1:2" x14ac:dyDescent="0.3">
      <c r="A86" s="8" t="s">
        <v>322</v>
      </c>
      <c r="B86">
        <v>18500</v>
      </c>
    </row>
    <row r="87" spans="1:2" x14ac:dyDescent="0.3">
      <c r="A87" s="8" t="s">
        <v>309</v>
      </c>
      <c r="B87">
        <v>30000</v>
      </c>
    </row>
    <row r="88" spans="1:2" x14ac:dyDescent="0.3">
      <c r="A88" s="8" t="s">
        <v>315</v>
      </c>
      <c r="B88">
        <v>3500</v>
      </c>
    </row>
    <row r="89" spans="1:2" x14ac:dyDescent="0.3">
      <c r="A89" s="8" t="s">
        <v>325</v>
      </c>
      <c r="B89">
        <v>3000</v>
      </c>
    </row>
    <row r="90" spans="1:2" x14ac:dyDescent="0.3">
      <c r="A90" s="8" t="s">
        <v>330</v>
      </c>
      <c r="B90">
        <v>30500</v>
      </c>
    </row>
    <row r="91" spans="1:2" x14ac:dyDescent="0.3">
      <c r="A91" s="8" t="s">
        <v>333</v>
      </c>
      <c r="B91">
        <v>25000</v>
      </c>
    </row>
    <row r="92" spans="1:2" x14ac:dyDescent="0.3">
      <c r="A92" s="8" t="s">
        <v>337</v>
      </c>
      <c r="B92">
        <v>27000</v>
      </c>
    </row>
    <row r="93" spans="1:2" x14ac:dyDescent="0.3">
      <c r="A93" s="8" t="s">
        <v>341</v>
      </c>
      <c r="B93">
        <v>4650</v>
      </c>
    </row>
    <row r="94" spans="1:2" x14ac:dyDescent="0.3">
      <c r="A94" s="8" t="s">
        <v>367</v>
      </c>
      <c r="B94">
        <v>45950</v>
      </c>
    </row>
    <row r="95" spans="1:2" x14ac:dyDescent="0.3">
      <c r="A95" s="8" t="s">
        <v>351</v>
      </c>
      <c r="B95">
        <v>1000</v>
      </c>
    </row>
    <row r="96" spans="1:2" x14ac:dyDescent="0.3">
      <c r="A96" s="8" t="s">
        <v>354</v>
      </c>
      <c r="B96">
        <v>600</v>
      </c>
    </row>
    <row r="97" spans="1:2" x14ac:dyDescent="0.3">
      <c r="A97" s="8" t="s">
        <v>359</v>
      </c>
      <c r="B97">
        <v>6750</v>
      </c>
    </row>
    <row r="98" spans="1:2" x14ac:dyDescent="0.3">
      <c r="A98" s="8" t="s">
        <v>361</v>
      </c>
      <c r="B98">
        <v>16500</v>
      </c>
    </row>
    <row r="99" spans="1:2" x14ac:dyDescent="0.3">
      <c r="A99" s="8" t="s">
        <v>366</v>
      </c>
      <c r="B99">
        <v>4900</v>
      </c>
    </row>
    <row r="100" spans="1:2" x14ac:dyDescent="0.3">
      <c r="A100" s="8" t="s">
        <v>368</v>
      </c>
      <c r="B100">
        <v>30000</v>
      </c>
    </row>
    <row r="101" spans="1:2" x14ac:dyDescent="0.3">
      <c r="A101" s="8" t="s">
        <v>397</v>
      </c>
      <c r="B101">
        <v>8250</v>
      </c>
    </row>
    <row r="102" spans="1:2" x14ac:dyDescent="0.3">
      <c r="A102" s="8" t="s">
        <v>403</v>
      </c>
      <c r="B102">
        <v>4000</v>
      </c>
    </row>
    <row r="103" spans="1:2" x14ac:dyDescent="0.3">
      <c r="A103" s="8" t="s">
        <v>377</v>
      </c>
      <c r="B103">
        <v>2300</v>
      </c>
    </row>
    <row r="104" spans="1:2" x14ac:dyDescent="0.3">
      <c r="A104" s="8" t="s">
        <v>382</v>
      </c>
      <c r="B104">
        <v>12000</v>
      </c>
    </row>
    <row r="105" spans="1:2" x14ac:dyDescent="0.3">
      <c r="A105" s="8" t="s">
        <v>401</v>
      </c>
      <c r="B105">
        <v>14000</v>
      </c>
    </row>
    <row r="106" spans="1:2" x14ac:dyDescent="0.3">
      <c r="A106" s="8" t="s">
        <v>407</v>
      </c>
      <c r="B106">
        <v>19000</v>
      </c>
    </row>
    <row r="107" spans="1:2" x14ac:dyDescent="0.3">
      <c r="A107" s="8" t="s">
        <v>420</v>
      </c>
      <c r="B107">
        <v>18250</v>
      </c>
    </row>
    <row r="108" spans="1:2" x14ac:dyDescent="0.3">
      <c r="A108" s="8" t="s">
        <v>438</v>
      </c>
      <c r="B108">
        <v>2550</v>
      </c>
    </row>
    <row r="109" spans="1:2" x14ac:dyDescent="0.3">
      <c r="A109" s="8" t="s">
        <v>433</v>
      </c>
      <c r="B109">
        <v>34750</v>
      </c>
    </row>
    <row r="110" spans="1:2" x14ac:dyDescent="0.3">
      <c r="A110" s="8" t="s">
        <v>446</v>
      </c>
      <c r="B110">
        <v>600</v>
      </c>
    </row>
    <row r="111" spans="1:2" x14ac:dyDescent="0.3">
      <c r="A111" s="8" t="s">
        <v>450</v>
      </c>
      <c r="B111">
        <v>3000</v>
      </c>
    </row>
    <row r="112" spans="1:2" x14ac:dyDescent="0.3">
      <c r="A112" s="8" t="s">
        <v>478</v>
      </c>
      <c r="B112">
        <v>1800</v>
      </c>
    </row>
    <row r="113" spans="1:2" x14ac:dyDescent="0.3">
      <c r="A113" s="8" t="s">
        <v>466</v>
      </c>
      <c r="B113">
        <v>4000</v>
      </c>
    </row>
    <row r="114" spans="1:2" x14ac:dyDescent="0.3">
      <c r="A114" s="8" t="s">
        <v>473</v>
      </c>
      <c r="B114">
        <v>85000</v>
      </c>
    </row>
    <row r="115" spans="1:2" x14ac:dyDescent="0.3">
      <c r="A115" s="8" t="s">
        <v>486</v>
      </c>
      <c r="B115">
        <v>26000</v>
      </c>
    </row>
    <row r="116" spans="1:2" x14ac:dyDescent="0.3">
      <c r="A116" s="8" t="s">
        <v>480</v>
      </c>
      <c r="B116">
        <v>21250</v>
      </c>
    </row>
    <row r="117" spans="1:2" x14ac:dyDescent="0.3">
      <c r="A117" s="8" t="s">
        <v>482</v>
      </c>
      <c r="B117">
        <v>2400</v>
      </c>
    </row>
    <row r="118" spans="1:2" x14ac:dyDescent="0.3">
      <c r="A118" s="8" t="s">
        <v>488</v>
      </c>
      <c r="B118">
        <v>1000</v>
      </c>
    </row>
    <row r="119" spans="1:2" x14ac:dyDescent="0.3">
      <c r="A119" s="8" t="s">
        <v>495</v>
      </c>
      <c r="B119">
        <v>400</v>
      </c>
    </row>
    <row r="120" spans="1:2" x14ac:dyDescent="0.3">
      <c r="A120" s="8" t="s">
        <v>501</v>
      </c>
      <c r="B120">
        <v>10000</v>
      </c>
    </row>
    <row r="121" spans="1:2" x14ac:dyDescent="0.3">
      <c r="A121" s="8" t="s">
        <v>504</v>
      </c>
    </row>
    <row r="122" spans="1:2" x14ac:dyDescent="0.3">
      <c r="A122" s="8" t="s">
        <v>514</v>
      </c>
      <c r="B122">
        <v>7700</v>
      </c>
    </row>
    <row r="123" spans="1:2" x14ac:dyDescent="0.3">
      <c r="A123" s="8" t="s">
        <v>507</v>
      </c>
      <c r="B123">
        <v>2000</v>
      </c>
    </row>
    <row r="124" spans="1:2" x14ac:dyDescent="0.3">
      <c r="A124" s="8" t="s">
        <v>510</v>
      </c>
      <c r="B124">
        <v>20000</v>
      </c>
    </row>
    <row r="125" spans="1:2" x14ac:dyDescent="0.3">
      <c r="A125" s="8" t="s">
        <v>516</v>
      </c>
    </row>
    <row r="126" spans="1:2" x14ac:dyDescent="0.3">
      <c r="A126" s="8" t="s">
        <v>518</v>
      </c>
      <c r="B126">
        <v>550000</v>
      </c>
    </row>
    <row r="127" spans="1:2" x14ac:dyDescent="0.3">
      <c r="A127" s="8" t="s">
        <v>534</v>
      </c>
      <c r="B127">
        <v>25000</v>
      </c>
    </row>
    <row r="128" spans="1:2" x14ac:dyDescent="0.3">
      <c r="A128" s="8" t="s">
        <v>540</v>
      </c>
      <c r="B128">
        <v>30000</v>
      </c>
    </row>
    <row r="129" spans="1:2" x14ac:dyDescent="0.3">
      <c r="A129" s="8" t="s">
        <v>543</v>
      </c>
      <c r="B129">
        <v>1500</v>
      </c>
    </row>
    <row r="130" spans="1:2" x14ac:dyDescent="0.3">
      <c r="A130" s="8" t="s">
        <v>2</v>
      </c>
      <c r="B130">
        <v>500</v>
      </c>
    </row>
    <row r="131" spans="1:2" x14ac:dyDescent="0.3">
      <c r="A131" s="8" t="s">
        <v>553</v>
      </c>
      <c r="B131">
        <v>2000</v>
      </c>
    </row>
    <row r="132" spans="1:2" x14ac:dyDescent="0.3">
      <c r="A132" s="8" t="s">
        <v>555</v>
      </c>
      <c r="B132">
        <v>4000</v>
      </c>
    </row>
    <row r="133" spans="1:2" x14ac:dyDescent="0.3">
      <c r="A133" s="8" t="s">
        <v>559</v>
      </c>
      <c r="B133">
        <v>3000</v>
      </c>
    </row>
    <row r="134" spans="1:2" x14ac:dyDescent="0.3">
      <c r="A134" s="8" t="s">
        <v>561</v>
      </c>
      <c r="B134">
        <v>3500</v>
      </c>
    </row>
    <row r="135" spans="1:2" x14ac:dyDescent="0.3">
      <c r="A135" s="8" t="s">
        <v>569</v>
      </c>
      <c r="B135">
        <v>13500</v>
      </c>
    </row>
    <row r="136" spans="1:2" x14ac:dyDescent="0.3">
      <c r="A136" s="8" t="s">
        <v>571</v>
      </c>
      <c r="B136">
        <v>6250</v>
      </c>
    </row>
    <row r="137" spans="1:2" x14ac:dyDescent="0.3">
      <c r="A137" s="8" t="s">
        <v>574</v>
      </c>
      <c r="B137">
        <v>17500</v>
      </c>
    </row>
    <row r="138" spans="1:2" x14ac:dyDescent="0.3">
      <c r="A138" s="8" t="s">
        <v>579</v>
      </c>
      <c r="B138">
        <v>5000</v>
      </c>
    </row>
    <row r="139" spans="1:2" x14ac:dyDescent="0.3">
      <c r="A139" s="8" t="s">
        <v>581</v>
      </c>
      <c r="B139">
        <v>1000</v>
      </c>
    </row>
    <row r="140" spans="1:2" x14ac:dyDescent="0.3">
      <c r="A140" s="8" t="s">
        <v>583</v>
      </c>
      <c r="B140">
        <v>12900</v>
      </c>
    </row>
    <row r="141" spans="1:2" x14ac:dyDescent="0.3">
      <c r="A141" s="8" t="s">
        <v>593</v>
      </c>
      <c r="B141">
        <v>3000</v>
      </c>
    </row>
    <row r="142" spans="1:2" x14ac:dyDescent="0.3">
      <c r="A142" s="8" t="s">
        <v>599</v>
      </c>
      <c r="B142">
        <v>1000</v>
      </c>
    </row>
    <row r="143" spans="1:2" x14ac:dyDescent="0.3">
      <c r="A143" s="8" t="s">
        <v>601</v>
      </c>
      <c r="B143">
        <v>2400</v>
      </c>
    </row>
    <row r="144" spans="1:2" x14ac:dyDescent="0.3">
      <c r="A144" s="8" t="s">
        <v>643</v>
      </c>
      <c r="B144">
        <v>60000</v>
      </c>
    </row>
    <row r="145" spans="1:2" x14ac:dyDescent="0.3">
      <c r="A145" s="8" t="s">
        <v>645</v>
      </c>
      <c r="B145">
        <v>7500</v>
      </c>
    </row>
    <row r="146" spans="1:2" x14ac:dyDescent="0.3">
      <c r="A146" s="8" t="s">
        <v>652</v>
      </c>
      <c r="B146">
        <v>4500</v>
      </c>
    </row>
    <row r="147" spans="1:2" x14ac:dyDescent="0.3">
      <c r="A147" s="8" t="s">
        <v>664</v>
      </c>
      <c r="B147">
        <v>90000</v>
      </c>
    </row>
    <row r="148" spans="1:2" x14ac:dyDescent="0.3">
      <c r="A148" s="8" t="s">
        <v>671</v>
      </c>
      <c r="B148">
        <v>6000</v>
      </c>
    </row>
    <row r="149" spans="1:2" x14ac:dyDescent="0.3">
      <c r="A149" s="8" t="s">
        <v>676</v>
      </c>
    </row>
    <row r="150" spans="1:2" x14ac:dyDescent="0.3">
      <c r="A150" s="8" t="s">
        <v>687</v>
      </c>
      <c r="B150">
        <v>800</v>
      </c>
    </row>
    <row r="151" spans="1:2" x14ac:dyDescent="0.3">
      <c r="A151" s="8" t="s">
        <v>690</v>
      </c>
      <c r="B151">
        <v>35000</v>
      </c>
    </row>
    <row r="152" spans="1:2" x14ac:dyDescent="0.3">
      <c r="A152" s="8" t="s">
        <v>719</v>
      </c>
    </row>
    <row r="153" spans="1:2" x14ac:dyDescent="0.3">
      <c r="A153" s="8" t="s">
        <v>723</v>
      </c>
      <c r="B153">
        <v>40000</v>
      </c>
    </row>
    <row r="154" spans="1:2" x14ac:dyDescent="0.3">
      <c r="A154" s="8" t="s">
        <v>726</v>
      </c>
      <c r="B154">
        <v>2500</v>
      </c>
    </row>
    <row r="155" spans="1:2" x14ac:dyDescent="0.3">
      <c r="A155" s="8" t="s">
        <v>734</v>
      </c>
      <c r="B155">
        <v>10000</v>
      </c>
    </row>
    <row r="156" spans="1:2" x14ac:dyDescent="0.3">
      <c r="A156" s="8" t="s">
        <v>746</v>
      </c>
      <c r="B156">
        <v>5000</v>
      </c>
    </row>
    <row r="157" spans="1:2" x14ac:dyDescent="0.3">
      <c r="A157" s="8" t="s">
        <v>268</v>
      </c>
      <c r="B157">
        <v>3662495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D529-CF4F-47B4-881E-2AB48B95033A}">
  <dimension ref="A1:B7"/>
  <sheetViews>
    <sheetView workbookViewId="0">
      <selection activeCell="A2" sqref="A2"/>
    </sheetView>
  </sheetViews>
  <sheetFormatPr defaultRowHeight="14.4" x14ac:dyDescent="0.3"/>
  <cols>
    <col min="1" max="1" width="14.77734375" bestFit="1" customWidth="1"/>
    <col min="2" max="2" width="12.77734375" bestFit="1" customWidth="1"/>
    <col min="3" max="3" width="6.33203125" bestFit="1" customWidth="1"/>
    <col min="4" max="4" width="12.6640625" bestFit="1" customWidth="1"/>
    <col min="5" max="5" width="13.33203125" bestFit="1" customWidth="1"/>
    <col min="6" max="6" width="5" bestFit="1" customWidth="1"/>
    <col min="7" max="7" width="5.44140625" bestFit="1" customWidth="1"/>
    <col min="8" max="8" width="13.33203125" bestFit="1" customWidth="1"/>
  </cols>
  <sheetData>
    <row r="1" spans="1:2" x14ac:dyDescent="0.3">
      <c r="A1" s="11" t="s">
        <v>267</v>
      </c>
      <c r="B1" t="s">
        <v>269</v>
      </c>
    </row>
    <row r="2" spans="1:2" x14ac:dyDescent="0.3">
      <c r="A2" s="8" t="s">
        <v>270</v>
      </c>
      <c r="B2">
        <v>6000</v>
      </c>
    </row>
    <row r="3" spans="1:2" x14ac:dyDescent="0.3">
      <c r="A3" s="8" t="s">
        <v>273</v>
      </c>
      <c r="B3">
        <v>1700450</v>
      </c>
    </row>
    <row r="4" spans="1:2" x14ac:dyDescent="0.3">
      <c r="A4" s="8" t="s">
        <v>272</v>
      </c>
      <c r="B4">
        <v>1695640</v>
      </c>
    </row>
    <row r="5" spans="1:2" x14ac:dyDescent="0.3">
      <c r="A5" s="8" t="s">
        <v>274</v>
      </c>
      <c r="B5">
        <v>258005</v>
      </c>
    </row>
    <row r="6" spans="1:2" x14ac:dyDescent="0.3">
      <c r="A6" s="8" t="s">
        <v>567</v>
      </c>
      <c r="B6">
        <v>2400</v>
      </c>
    </row>
    <row r="7" spans="1:2" x14ac:dyDescent="0.3">
      <c r="A7" s="8" t="s">
        <v>268</v>
      </c>
      <c r="B7">
        <v>3662495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54D19-5AAB-4AFD-9865-D8775F580AA5}">
  <dimension ref="A1"/>
  <sheetViews>
    <sheetView showGridLines="0" zoomScaleNormal="100" workbookViewId="0">
      <selection activeCell="AC13" sqref="AC13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İşler</vt:lpstr>
      <vt:lpstr>Aylık İş </vt:lpstr>
      <vt:lpstr>Müşteri Borç</vt:lpstr>
      <vt:lpstr>Müşteri Getiri</vt:lpstr>
      <vt:lpstr>İş Tipi</vt:lpstr>
      <vt:lpstr>Panel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Kadir Akalın</dc:creator>
  <cp:lastModifiedBy>ABDUL KADIR AKALIN</cp:lastModifiedBy>
  <dcterms:created xsi:type="dcterms:W3CDTF">2015-06-05T18:19:34Z</dcterms:created>
  <dcterms:modified xsi:type="dcterms:W3CDTF">2025-12-18T22:08:17Z</dcterms:modified>
</cp:coreProperties>
</file>